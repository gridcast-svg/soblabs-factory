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BOM Item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A4A"/>
      </patternFill>
    </fill>
    <fill>
      <patternFill patternType="solid">
        <fgColor rgb="006044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BOMItems" displayName="BOMItems" ref="A1:Y101" headerRowCount="1">
  <autoFilter ref="A1:Y101"/>
  <tableColumns count="25">
    <tableColumn id="1" name="Item ID"/>
    <tableColumn id="2" name="Area / System"/>
    <tableColumn id="3" name="Scope"/>
    <tableColumn id="4" name="Category"/>
    <tableColumn id="5" name="Manufacturer"/>
    <tableColumn id="6" name="Manufacturer Part No"/>
    <tableColumn id="7" name="Description"/>
    <tableColumn id="8" name="Supplier"/>
    <tableColumn id="9" name="Supplier SKU"/>
    <tableColumn id="10" name="Quantity"/>
    <tableColumn id="11" name="Unit"/>
    <tableColumn id="12" name="Unit Cost"/>
    <tableColumn id="13" name="Cost Currency"/>
    <tableColumn id="14" name="FX to Project Currency"/>
    <tableColumn id="15" name="Markup %"/>
    <tableColumn id="16" name="Taxable"/>
    <tableColumn id="17" name="Lead Time Days"/>
    <tableColumn id="18" name="Notes"/>
    <tableColumn id="19" name="Readiness"/>
    <tableColumn id="20" name="Extended Cost"/>
    <tableColumn id="21" name="Unit Sell Price"/>
    <tableColumn id="22" name="Extended Sell Price"/>
    <tableColumn id="23" name="Gross Profit"/>
    <tableColumn id="24" name="Margin %"/>
    <tableColumn id="25" name="Tax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Soblabs BOM template — proposed v1</t>
        </is>
      </c>
    </row>
    <row r="2">
      <c r="A2" s="2" t="inlineStr">
        <is>
          <t>Internal workbook: contains supplier costs and profit. Do not send to customers.</t>
        </is>
      </c>
    </row>
    <row r="3">
      <c r="A3" s="2" t="inlineStr">
        <is>
          <t>Use Project for project details; use BOM Items for all rooms and systems.</t>
        </is>
      </c>
    </row>
    <row r="4">
      <c r="A4" s="2" t="inlineStr">
        <is>
          <t>Blue headings are inputs. Purple headings are calculated fields.</t>
        </is>
      </c>
    </row>
    <row r="5">
      <c r="A5" s="2" t="inlineStr">
        <is>
          <t>One row per item. Keep Item ID stable across revisions; assign a unique ID to each new row.</t>
        </is>
      </c>
    </row>
    <row r="6">
      <c r="A6" s="2" t="inlineStr">
        <is>
          <t>Scope: Selected contributes to totals; Alternative and Excluded do not.</t>
        </is>
      </c>
    </row>
    <row r="7">
      <c r="A7" s="2" t="inlineStr">
        <is>
          <t>Unit describes quantity: ea, hour, metre, lot, etc. Do not infer labour units.</t>
        </is>
      </c>
    </row>
    <row r="8">
      <c r="A8" s="2" t="inlineStr">
        <is>
          <t>Cost Currency: CAD or USD. FX to Project Currency = project currency units per 1 cost currency unit.</t>
        </is>
      </c>
    </row>
    <row r="9">
      <c r="A9" s="2" t="inlineStr">
        <is>
          <t>Example: USD cost to CAD project at 1 USD = 1.35 CAD uses FX 1.35; same currency uses 1.</t>
        </is>
      </c>
    </row>
    <row r="10">
      <c r="A10" s="2" t="inlineStr">
        <is>
          <t>Enter Markup as an Excel percentage (25%). This template uses markup, not target margin.</t>
        </is>
      </c>
    </row>
    <row r="11">
      <c r="A11" s="2" t="inlineStr">
        <is>
          <t>Tax Rate is project-specific; taxable status is per item. No default jurisdiction is assumed.</t>
        </is>
      </c>
    </row>
    <row r="12">
      <c r="A12" s="2" t="inlineStr">
        <is>
          <t>Supplier SKU and manufacturer part number are text to preserve leading zeros.</t>
        </is>
      </c>
    </row>
    <row r="13">
      <c r="A13" s="2" t="inlineStr">
        <is>
          <t>Leave unknown specifications/costs blank. Check readiness before treating totals as complete.</t>
        </is>
      </c>
    </row>
    <row r="14">
      <c r="A14" s="2" t="inlineStr">
        <is>
          <t>Summary formulas use selected rows only. Excel recalculates on open; imports must validate/recompute.</t>
        </is>
      </c>
    </row>
    <row r="15">
      <c r="A15" s="2" t="inlineStr">
        <is>
          <t>Use one workbook per project revision. Do not add subtotal rows or merge cells in the items table.</t>
        </is>
      </c>
    </row>
    <row r="16">
      <c r="A16" s="2" t="inlineStr">
        <is>
          <t>Procurement is planned for the app; this workbook focuses on scope and estimated pricing.</t>
        </is>
      </c>
    </row>
    <row r="17">
      <c r="A17" s="2" t="inlineStr">
        <is>
          <t>App imports should preview changes and retain the source workbook. No SharePoint sync is connected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 ID</t>
        </is>
      </c>
      <c r="B2" s="2" t="n"/>
    </row>
    <row r="3">
      <c r="A3" s="2" t="inlineStr">
        <is>
          <t>Project Name</t>
        </is>
      </c>
      <c r="B3" s="2" t="n"/>
    </row>
    <row r="4">
      <c r="A4" s="2" t="inlineStr">
        <is>
          <t>Customer</t>
        </is>
      </c>
      <c r="B4" s="2" t="n"/>
    </row>
    <row r="5">
      <c r="A5" s="2" t="inlineStr">
        <is>
          <t>Site / Address</t>
        </is>
      </c>
      <c r="B5" s="2" t="n"/>
    </row>
    <row r="6">
      <c r="A6" s="2" t="inlineStr">
        <is>
          <t>Revision</t>
        </is>
      </c>
      <c r="B6" s="2" t="inlineStr">
        <is>
          <t>1</t>
        </is>
      </c>
    </row>
    <row r="7">
      <c r="A7" s="2" t="inlineStr">
        <is>
          <t>Prepared By</t>
        </is>
      </c>
      <c r="B7" s="2" t="n"/>
    </row>
    <row r="8">
      <c r="A8" s="2" t="inlineStr">
        <is>
          <t>Issue Date</t>
        </is>
      </c>
      <c r="B8" s="2" t="n"/>
    </row>
    <row r="9">
      <c r="A9" s="2" t="inlineStr">
        <is>
          <t>Valid Until</t>
        </is>
      </c>
      <c r="B9" s="2" t="n"/>
    </row>
    <row r="10">
      <c r="A10" s="2" t="inlineStr">
        <is>
          <t>Project Currency</t>
        </is>
      </c>
      <c r="B10" s="2" t="inlineStr">
        <is>
          <t>CAD</t>
        </is>
      </c>
    </row>
    <row r="11">
      <c r="A11" s="2" t="inlineStr">
        <is>
          <t>Tax Rate</t>
        </is>
      </c>
      <c r="B11" s="3" t="n"/>
    </row>
    <row r="12">
      <c r="A12" s="2" t="inlineStr">
        <is>
          <t>Payment Terms</t>
        </is>
      </c>
      <c r="B12" s="2" t="n"/>
    </row>
    <row r="13">
      <c r="A13" s="2" t="inlineStr">
        <is>
          <t>Notes / Exclusions</t>
        </is>
      </c>
      <c r="B1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pane xSplit="7" ySplit="1" topLeftCell="H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48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45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Item ID</t>
        </is>
      </c>
      <c r="B1" s="1" t="inlineStr">
        <is>
          <t>Area / System</t>
        </is>
      </c>
      <c r="C1" s="1" t="inlineStr">
        <is>
          <t>Scope</t>
        </is>
      </c>
      <c r="D1" s="1" t="inlineStr">
        <is>
          <t>Category</t>
        </is>
      </c>
      <c r="E1" s="1" t="inlineStr">
        <is>
          <t>Manufacturer</t>
        </is>
      </c>
      <c r="F1" s="1" t="inlineStr">
        <is>
          <t>Manufacturer Part No</t>
        </is>
      </c>
      <c r="G1" s="1" t="inlineStr">
        <is>
          <t>Description</t>
        </is>
      </c>
      <c r="H1" s="1" t="inlineStr">
        <is>
          <t>Supplier</t>
        </is>
      </c>
      <c r="I1" s="1" t="inlineStr">
        <is>
          <t>Supplier SKU</t>
        </is>
      </c>
      <c r="J1" s="1" t="inlineStr">
        <is>
          <t>Quantity</t>
        </is>
      </c>
      <c r="K1" s="1" t="inlineStr">
        <is>
          <t>Unit</t>
        </is>
      </c>
      <c r="L1" s="1" t="inlineStr">
        <is>
          <t>Unit Cost</t>
        </is>
      </c>
      <c r="M1" s="1" t="inlineStr">
        <is>
          <t>Cost Currency</t>
        </is>
      </c>
      <c r="N1" s="1" t="inlineStr">
        <is>
          <t>FX to Project Currency</t>
        </is>
      </c>
      <c r="O1" s="1" t="inlineStr">
        <is>
          <t>Markup %</t>
        </is>
      </c>
      <c r="P1" s="1" t="inlineStr">
        <is>
          <t>Taxable</t>
        </is>
      </c>
      <c r="Q1" s="1" t="inlineStr">
        <is>
          <t>Lead Time Days</t>
        </is>
      </c>
      <c r="R1" s="1" t="inlineStr">
        <is>
          <t>Notes</t>
        </is>
      </c>
      <c r="S1" s="4" t="inlineStr">
        <is>
          <t>Readiness</t>
        </is>
      </c>
      <c r="T1" s="4" t="inlineStr">
        <is>
          <t>Extended Cost</t>
        </is>
      </c>
      <c r="U1" s="4" t="inlineStr">
        <is>
          <t>Unit Sell Price</t>
        </is>
      </c>
      <c r="V1" s="4" t="inlineStr">
        <is>
          <t>Extended Sell Price</t>
        </is>
      </c>
      <c r="W1" s="4" t="inlineStr">
        <is>
          <t>Gross Profit</t>
        </is>
      </c>
      <c r="X1" s="4" t="inlineStr">
        <is>
          <t>Margin %</t>
        </is>
      </c>
      <c r="Y1" s="4" t="inlineStr">
        <is>
          <t>Tax</t>
        </is>
      </c>
    </row>
    <row r="2">
      <c r="A2" s="2" t="n"/>
      <c r="B2" s="2" t="n"/>
      <c r="C2" s="2" t="n"/>
      <c r="D2" s="2" t="n"/>
      <c r="E2" s="2" t="n"/>
      <c r="F2" s="5" t="n"/>
      <c r="G2" s="2" t="n"/>
      <c r="H2" s="2" t="n"/>
      <c r="I2" s="5" t="n"/>
      <c r="J2" s="2" t="n"/>
      <c r="K2" s="2" t="n"/>
      <c r="L2" s="6" t="n"/>
      <c r="M2" s="2" t="n"/>
      <c r="N2" s="2" t="n"/>
      <c r="O2" s="3" t="n"/>
      <c r="P2" s="2" t="n"/>
      <c r="Q2" s="2" t="n"/>
      <c r="R2" s="2" t="n"/>
      <c r="S2" s="2">
        <f>IF(A2="","",IF(OR(C2="",G2="",J2="",K2="",L2="",M2="",N2="",O2="",P2="",Project!$B$10="",Project!$B$11=""),"Incomplete","Ready"))</f>
        <v/>
      </c>
      <c r="T2" s="6">
        <f>IF(S2&lt;&gt;"Ready","",ROUND(J2*L2*N2,2))</f>
        <v/>
      </c>
      <c r="U2" s="6">
        <f>IF(S2&lt;&gt;"Ready","",ROUND(L2*N2*(1+O2),2))</f>
        <v/>
      </c>
      <c r="V2" s="6">
        <f>IF(S2&lt;&gt;"Ready","",ROUND(J2*U2,2))</f>
        <v/>
      </c>
      <c r="W2" s="6">
        <f>IF(S2&lt;&gt;"Ready","",V2-T2)</f>
        <v/>
      </c>
      <c r="X2" s="3">
        <f>IF(S2&lt;&gt;"Ready","",IF(V2=0,0,W2/V2))</f>
        <v/>
      </c>
      <c r="Y2" s="6">
        <f>IF(S2&lt;&gt;"Ready","",IF(P2="Yes",ROUND(V2*Project!$B$11,2),0))</f>
        <v/>
      </c>
    </row>
    <row r="3">
      <c r="A3" s="2" t="n"/>
      <c r="B3" s="2" t="n"/>
      <c r="C3" s="2" t="n"/>
      <c r="D3" s="2" t="n"/>
      <c r="E3" s="2" t="n"/>
      <c r="F3" s="5" t="n"/>
      <c r="G3" s="2" t="n"/>
      <c r="H3" s="2" t="n"/>
      <c r="I3" s="5" t="n"/>
      <c r="J3" s="2" t="n"/>
      <c r="K3" s="2" t="n"/>
      <c r="L3" s="6" t="n"/>
      <c r="M3" s="2" t="n"/>
      <c r="N3" s="2" t="n"/>
      <c r="O3" s="3" t="n"/>
      <c r="P3" s="2" t="n"/>
      <c r="Q3" s="2" t="n"/>
      <c r="R3" s="2" t="n"/>
      <c r="S3" s="2">
        <f>IF(A3="","",IF(OR(C3="",G3="",J3="",K3="",L3="",M3="",N3="",O3="",P3="",Project!$B$10="",Project!$B$11=""),"Incomplete","Ready"))</f>
        <v/>
      </c>
      <c r="T3" s="6">
        <f>IF(S3&lt;&gt;"Ready","",ROUND(J3*L3*N3,2))</f>
        <v/>
      </c>
      <c r="U3" s="6">
        <f>IF(S3&lt;&gt;"Ready","",ROUND(L3*N3*(1+O3),2))</f>
        <v/>
      </c>
      <c r="V3" s="6">
        <f>IF(S3&lt;&gt;"Ready","",ROUND(J3*U3,2))</f>
        <v/>
      </c>
      <c r="W3" s="6">
        <f>IF(S3&lt;&gt;"Ready","",V3-T3)</f>
        <v/>
      </c>
      <c r="X3" s="3">
        <f>IF(S3&lt;&gt;"Ready","",IF(V3=0,0,W3/V3))</f>
        <v/>
      </c>
      <c r="Y3" s="6">
        <f>IF(S3&lt;&gt;"Ready","",IF(P3="Yes",ROUND(V3*Project!$B$11,2),0))</f>
        <v/>
      </c>
    </row>
    <row r="4">
      <c r="A4" s="2" t="n"/>
      <c r="B4" s="2" t="n"/>
      <c r="C4" s="2" t="n"/>
      <c r="D4" s="2" t="n"/>
      <c r="E4" s="2" t="n"/>
      <c r="F4" s="5" t="n"/>
      <c r="G4" s="2" t="n"/>
      <c r="H4" s="2" t="n"/>
      <c r="I4" s="5" t="n"/>
      <c r="J4" s="2" t="n"/>
      <c r="K4" s="2" t="n"/>
      <c r="L4" s="6" t="n"/>
      <c r="M4" s="2" t="n"/>
      <c r="N4" s="2" t="n"/>
      <c r="O4" s="3" t="n"/>
      <c r="P4" s="2" t="n"/>
      <c r="Q4" s="2" t="n"/>
      <c r="R4" s="2" t="n"/>
      <c r="S4" s="2">
        <f>IF(A4="","",IF(OR(C4="",G4="",J4="",K4="",L4="",M4="",N4="",O4="",P4="",Project!$B$10="",Project!$B$11=""),"Incomplete","Ready"))</f>
        <v/>
      </c>
      <c r="T4" s="6">
        <f>IF(S4&lt;&gt;"Ready","",ROUND(J4*L4*N4,2))</f>
        <v/>
      </c>
      <c r="U4" s="6">
        <f>IF(S4&lt;&gt;"Ready","",ROUND(L4*N4*(1+O4),2))</f>
        <v/>
      </c>
      <c r="V4" s="6">
        <f>IF(S4&lt;&gt;"Ready","",ROUND(J4*U4,2))</f>
        <v/>
      </c>
      <c r="W4" s="6">
        <f>IF(S4&lt;&gt;"Ready","",V4-T4)</f>
        <v/>
      </c>
      <c r="X4" s="3">
        <f>IF(S4&lt;&gt;"Ready","",IF(V4=0,0,W4/V4))</f>
        <v/>
      </c>
      <c r="Y4" s="6">
        <f>IF(S4&lt;&gt;"Ready","",IF(P4="Yes",ROUND(V4*Project!$B$11,2),0))</f>
        <v/>
      </c>
    </row>
    <row r="5">
      <c r="A5" s="2" t="n"/>
      <c r="B5" s="2" t="n"/>
      <c r="C5" s="2" t="n"/>
      <c r="D5" s="2" t="n"/>
      <c r="E5" s="2" t="n"/>
      <c r="F5" s="5" t="n"/>
      <c r="G5" s="2" t="n"/>
      <c r="H5" s="2" t="n"/>
      <c r="I5" s="5" t="n"/>
      <c r="J5" s="2" t="n"/>
      <c r="K5" s="2" t="n"/>
      <c r="L5" s="6" t="n"/>
      <c r="M5" s="2" t="n"/>
      <c r="N5" s="2" t="n"/>
      <c r="O5" s="3" t="n"/>
      <c r="P5" s="2" t="n"/>
      <c r="Q5" s="2" t="n"/>
      <c r="R5" s="2" t="n"/>
      <c r="S5" s="2">
        <f>IF(A5="","",IF(OR(C5="",G5="",J5="",K5="",L5="",M5="",N5="",O5="",P5="",Project!$B$10="",Project!$B$11=""),"Incomplete","Ready"))</f>
        <v/>
      </c>
      <c r="T5" s="6">
        <f>IF(S5&lt;&gt;"Ready","",ROUND(J5*L5*N5,2))</f>
        <v/>
      </c>
      <c r="U5" s="6">
        <f>IF(S5&lt;&gt;"Ready","",ROUND(L5*N5*(1+O5),2))</f>
        <v/>
      </c>
      <c r="V5" s="6">
        <f>IF(S5&lt;&gt;"Ready","",ROUND(J5*U5,2))</f>
        <v/>
      </c>
      <c r="W5" s="6">
        <f>IF(S5&lt;&gt;"Ready","",V5-T5)</f>
        <v/>
      </c>
      <c r="X5" s="3">
        <f>IF(S5&lt;&gt;"Ready","",IF(V5=0,0,W5/V5))</f>
        <v/>
      </c>
      <c r="Y5" s="6">
        <f>IF(S5&lt;&gt;"Ready","",IF(P5="Yes",ROUND(V5*Project!$B$11,2),0))</f>
        <v/>
      </c>
    </row>
    <row r="6">
      <c r="A6" s="2" t="n"/>
      <c r="B6" s="2" t="n"/>
      <c r="C6" s="2" t="n"/>
      <c r="D6" s="2" t="n"/>
      <c r="E6" s="2" t="n"/>
      <c r="F6" s="5" t="n"/>
      <c r="G6" s="2" t="n"/>
      <c r="H6" s="2" t="n"/>
      <c r="I6" s="5" t="n"/>
      <c r="J6" s="2" t="n"/>
      <c r="K6" s="2" t="n"/>
      <c r="L6" s="6" t="n"/>
      <c r="M6" s="2" t="n"/>
      <c r="N6" s="2" t="n"/>
      <c r="O6" s="3" t="n"/>
      <c r="P6" s="2" t="n"/>
      <c r="Q6" s="2" t="n"/>
      <c r="R6" s="2" t="n"/>
      <c r="S6" s="2">
        <f>IF(A6="","",IF(OR(C6="",G6="",J6="",K6="",L6="",M6="",N6="",O6="",P6="",Project!$B$10="",Project!$B$11=""),"Incomplete","Ready"))</f>
        <v/>
      </c>
      <c r="T6" s="6">
        <f>IF(S6&lt;&gt;"Ready","",ROUND(J6*L6*N6,2))</f>
        <v/>
      </c>
      <c r="U6" s="6">
        <f>IF(S6&lt;&gt;"Ready","",ROUND(L6*N6*(1+O6),2))</f>
        <v/>
      </c>
      <c r="V6" s="6">
        <f>IF(S6&lt;&gt;"Ready","",ROUND(J6*U6,2))</f>
        <v/>
      </c>
      <c r="W6" s="6">
        <f>IF(S6&lt;&gt;"Ready","",V6-T6)</f>
        <v/>
      </c>
      <c r="X6" s="3">
        <f>IF(S6&lt;&gt;"Ready","",IF(V6=0,0,W6/V6))</f>
        <v/>
      </c>
      <c r="Y6" s="6">
        <f>IF(S6&lt;&gt;"Ready","",IF(P6="Yes",ROUND(V6*Project!$B$11,2),0))</f>
        <v/>
      </c>
    </row>
    <row r="7">
      <c r="A7" s="2" t="n"/>
      <c r="B7" s="2" t="n"/>
      <c r="C7" s="2" t="n"/>
      <c r="D7" s="2" t="n"/>
      <c r="E7" s="2" t="n"/>
      <c r="F7" s="5" t="n"/>
      <c r="G7" s="2" t="n"/>
      <c r="H7" s="2" t="n"/>
      <c r="I7" s="5" t="n"/>
      <c r="J7" s="2" t="n"/>
      <c r="K7" s="2" t="n"/>
      <c r="L7" s="6" t="n"/>
      <c r="M7" s="2" t="n"/>
      <c r="N7" s="2" t="n"/>
      <c r="O7" s="3" t="n"/>
      <c r="P7" s="2" t="n"/>
      <c r="Q7" s="2" t="n"/>
      <c r="R7" s="2" t="n"/>
      <c r="S7" s="2">
        <f>IF(A7="","",IF(OR(C7="",G7="",J7="",K7="",L7="",M7="",N7="",O7="",P7="",Project!$B$10="",Project!$B$11=""),"Incomplete","Ready"))</f>
        <v/>
      </c>
      <c r="T7" s="6">
        <f>IF(S7&lt;&gt;"Ready","",ROUND(J7*L7*N7,2))</f>
        <v/>
      </c>
      <c r="U7" s="6">
        <f>IF(S7&lt;&gt;"Ready","",ROUND(L7*N7*(1+O7),2))</f>
        <v/>
      </c>
      <c r="V7" s="6">
        <f>IF(S7&lt;&gt;"Ready","",ROUND(J7*U7,2))</f>
        <v/>
      </c>
      <c r="W7" s="6">
        <f>IF(S7&lt;&gt;"Ready","",V7-T7)</f>
        <v/>
      </c>
      <c r="X7" s="3">
        <f>IF(S7&lt;&gt;"Ready","",IF(V7=0,0,W7/V7))</f>
        <v/>
      </c>
      <c r="Y7" s="6">
        <f>IF(S7&lt;&gt;"Ready","",IF(P7="Yes",ROUND(V7*Project!$B$11,2),0))</f>
        <v/>
      </c>
    </row>
    <row r="8">
      <c r="A8" s="2" t="n"/>
      <c r="B8" s="2" t="n"/>
      <c r="C8" s="2" t="n"/>
      <c r="D8" s="2" t="n"/>
      <c r="E8" s="2" t="n"/>
      <c r="F8" s="5" t="n"/>
      <c r="G8" s="2" t="n"/>
      <c r="H8" s="2" t="n"/>
      <c r="I8" s="5" t="n"/>
      <c r="J8" s="2" t="n"/>
      <c r="K8" s="2" t="n"/>
      <c r="L8" s="6" t="n"/>
      <c r="M8" s="2" t="n"/>
      <c r="N8" s="2" t="n"/>
      <c r="O8" s="3" t="n"/>
      <c r="P8" s="2" t="n"/>
      <c r="Q8" s="2" t="n"/>
      <c r="R8" s="2" t="n"/>
      <c r="S8" s="2">
        <f>IF(A8="","",IF(OR(C8="",G8="",J8="",K8="",L8="",M8="",N8="",O8="",P8="",Project!$B$10="",Project!$B$11=""),"Incomplete","Ready"))</f>
        <v/>
      </c>
      <c r="T8" s="6">
        <f>IF(S8&lt;&gt;"Ready","",ROUND(J8*L8*N8,2))</f>
        <v/>
      </c>
      <c r="U8" s="6">
        <f>IF(S8&lt;&gt;"Ready","",ROUND(L8*N8*(1+O8),2))</f>
        <v/>
      </c>
      <c r="V8" s="6">
        <f>IF(S8&lt;&gt;"Ready","",ROUND(J8*U8,2))</f>
        <v/>
      </c>
      <c r="W8" s="6">
        <f>IF(S8&lt;&gt;"Ready","",V8-T8)</f>
        <v/>
      </c>
      <c r="X8" s="3">
        <f>IF(S8&lt;&gt;"Ready","",IF(V8=0,0,W8/V8))</f>
        <v/>
      </c>
      <c r="Y8" s="6">
        <f>IF(S8&lt;&gt;"Ready","",IF(P8="Yes",ROUND(V8*Project!$B$11,2),0))</f>
        <v/>
      </c>
    </row>
    <row r="9">
      <c r="A9" s="2" t="n"/>
      <c r="B9" s="2" t="n"/>
      <c r="C9" s="2" t="n"/>
      <c r="D9" s="2" t="n"/>
      <c r="E9" s="2" t="n"/>
      <c r="F9" s="5" t="n"/>
      <c r="G9" s="2" t="n"/>
      <c r="H9" s="2" t="n"/>
      <c r="I9" s="5" t="n"/>
      <c r="J9" s="2" t="n"/>
      <c r="K9" s="2" t="n"/>
      <c r="L9" s="6" t="n"/>
      <c r="M9" s="2" t="n"/>
      <c r="N9" s="2" t="n"/>
      <c r="O9" s="3" t="n"/>
      <c r="P9" s="2" t="n"/>
      <c r="Q9" s="2" t="n"/>
      <c r="R9" s="2" t="n"/>
      <c r="S9" s="2">
        <f>IF(A9="","",IF(OR(C9="",G9="",J9="",K9="",L9="",M9="",N9="",O9="",P9="",Project!$B$10="",Project!$B$11=""),"Incomplete","Ready"))</f>
        <v/>
      </c>
      <c r="T9" s="6">
        <f>IF(S9&lt;&gt;"Ready","",ROUND(J9*L9*N9,2))</f>
        <v/>
      </c>
      <c r="U9" s="6">
        <f>IF(S9&lt;&gt;"Ready","",ROUND(L9*N9*(1+O9),2))</f>
        <v/>
      </c>
      <c r="V9" s="6">
        <f>IF(S9&lt;&gt;"Ready","",ROUND(J9*U9,2))</f>
        <v/>
      </c>
      <c r="W9" s="6">
        <f>IF(S9&lt;&gt;"Ready","",V9-T9)</f>
        <v/>
      </c>
      <c r="X9" s="3">
        <f>IF(S9&lt;&gt;"Ready","",IF(V9=0,0,W9/V9))</f>
        <v/>
      </c>
      <c r="Y9" s="6">
        <f>IF(S9&lt;&gt;"Ready","",IF(P9="Yes",ROUND(V9*Project!$B$11,2),0))</f>
        <v/>
      </c>
    </row>
    <row r="10">
      <c r="A10" s="2" t="n"/>
      <c r="B10" s="2" t="n"/>
      <c r="C10" s="2" t="n"/>
      <c r="D10" s="2" t="n"/>
      <c r="E10" s="2" t="n"/>
      <c r="F10" s="5" t="n"/>
      <c r="G10" s="2" t="n"/>
      <c r="H10" s="2" t="n"/>
      <c r="I10" s="5" t="n"/>
      <c r="J10" s="2" t="n"/>
      <c r="K10" s="2" t="n"/>
      <c r="L10" s="6" t="n"/>
      <c r="M10" s="2" t="n"/>
      <c r="N10" s="2" t="n"/>
      <c r="O10" s="3" t="n"/>
      <c r="P10" s="2" t="n"/>
      <c r="Q10" s="2" t="n"/>
      <c r="R10" s="2" t="n"/>
      <c r="S10" s="2">
        <f>IF(A10="","",IF(OR(C10="",G10="",J10="",K10="",L10="",M10="",N10="",O10="",P10="",Project!$B$10="",Project!$B$11=""),"Incomplete","Ready"))</f>
        <v/>
      </c>
      <c r="T10" s="6">
        <f>IF(S10&lt;&gt;"Ready","",ROUND(J10*L10*N10,2))</f>
        <v/>
      </c>
      <c r="U10" s="6">
        <f>IF(S10&lt;&gt;"Ready","",ROUND(L10*N10*(1+O10),2))</f>
        <v/>
      </c>
      <c r="V10" s="6">
        <f>IF(S10&lt;&gt;"Ready","",ROUND(J10*U10,2))</f>
        <v/>
      </c>
      <c r="W10" s="6">
        <f>IF(S10&lt;&gt;"Ready","",V10-T10)</f>
        <v/>
      </c>
      <c r="X10" s="3">
        <f>IF(S10&lt;&gt;"Ready","",IF(V10=0,0,W10/V10))</f>
        <v/>
      </c>
      <c r="Y10" s="6">
        <f>IF(S10&lt;&gt;"Ready","",IF(P10="Yes",ROUND(V10*Project!$B$11,2),0))</f>
        <v/>
      </c>
    </row>
    <row r="11">
      <c r="A11" s="2" t="n"/>
      <c r="B11" s="2" t="n"/>
      <c r="C11" s="2" t="n"/>
      <c r="D11" s="2" t="n"/>
      <c r="E11" s="2" t="n"/>
      <c r="F11" s="5" t="n"/>
      <c r="G11" s="2" t="n"/>
      <c r="H11" s="2" t="n"/>
      <c r="I11" s="5" t="n"/>
      <c r="J11" s="2" t="n"/>
      <c r="K11" s="2" t="n"/>
      <c r="L11" s="6" t="n"/>
      <c r="M11" s="2" t="n"/>
      <c r="N11" s="2" t="n"/>
      <c r="O11" s="3" t="n"/>
      <c r="P11" s="2" t="n"/>
      <c r="Q11" s="2" t="n"/>
      <c r="R11" s="2" t="n"/>
      <c r="S11" s="2">
        <f>IF(A11="","",IF(OR(C11="",G11="",J11="",K11="",L11="",M11="",N11="",O11="",P11="",Project!$B$10="",Project!$B$11=""),"Incomplete","Ready"))</f>
        <v/>
      </c>
      <c r="T11" s="6">
        <f>IF(S11&lt;&gt;"Ready","",ROUND(J11*L11*N11,2))</f>
        <v/>
      </c>
      <c r="U11" s="6">
        <f>IF(S11&lt;&gt;"Ready","",ROUND(L11*N11*(1+O11),2))</f>
        <v/>
      </c>
      <c r="V11" s="6">
        <f>IF(S11&lt;&gt;"Ready","",ROUND(J11*U11,2))</f>
        <v/>
      </c>
      <c r="W11" s="6">
        <f>IF(S11&lt;&gt;"Ready","",V11-T11)</f>
        <v/>
      </c>
      <c r="X11" s="3">
        <f>IF(S11&lt;&gt;"Ready","",IF(V11=0,0,W11/V11))</f>
        <v/>
      </c>
      <c r="Y11" s="6">
        <f>IF(S11&lt;&gt;"Ready","",IF(P11="Yes",ROUND(V11*Project!$B$11,2),0))</f>
        <v/>
      </c>
    </row>
    <row r="12">
      <c r="A12" s="2" t="n"/>
      <c r="B12" s="2" t="n"/>
      <c r="C12" s="2" t="n"/>
      <c r="D12" s="2" t="n"/>
      <c r="E12" s="2" t="n"/>
      <c r="F12" s="5" t="n"/>
      <c r="G12" s="2" t="n"/>
      <c r="H12" s="2" t="n"/>
      <c r="I12" s="5" t="n"/>
      <c r="J12" s="2" t="n"/>
      <c r="K12" s="2" t="n"/>
      <c r="L12" s="6" t="n"/>
      <c r="M12" s="2" t="n"/>
      <c r="N12" s="2" t="n"/>
      <c r="O12" s="3" t="n"/>
      <c r="P12" s="2" t="n"/>
      <c r="Q12" s="2" t="n"/>
      <c r="R12" s="2" t="n"/>
      <c r="S12" s="2">
        <f>IF(A12="","",IF(OR(C12="",G12="",J12="",K12="",L12="",M12="",N12="",O12="",P12="",Project!$B$10="",Project!$B$11=""),"Incomplete","Ready"))</f>
        <v/>
      </c>
      <c r="T12" s="6">
        <f>IF(S12&lt;&gt;"Ready","",ROUND(J12*L12*N12,2))</f>
        <v/>
      </c>
      <c r="U12" s="6">
        <f>IF(S12&lt;&gt;"Ready","",ROUND(L12*N12*(1+O12),2))</f>
        <v/>
      </c>
      <c r="V12" s="6">
        <f>IF(S12&lt;&gt;"Ready","",ROUND(J12*U12,2))</f>
        <v/>
      </c>
      <c r="W12" s="6">
        <f>IF(S12&lt;&gt;"Ready","",V12-T12)</f>
        <v/>
      </c>
      <c r="X12" s="3">
        <f>IF(S12&lt;&gt;"Ready","",IF(V12=0,0,W12/V12))</f>
        <v/>
      </c>
      <c r="Y12" s="6">
        <f>IF(S12&lt;&gt;"Ready","",IF(P12="Yes",ROUND(V12*Project!$B$11,2),0))</f>
        <v/>
      </c>
    </row>
    <row r="13">
      <c r="A13" s="2" t="n"/>
      <c r="B13" s="2" t="n"/>
      <c r="C13" s="2" t="n"/>
      <c r="D13" s="2" t="n"/>
      <c r="E13" s="2" t="n"/>
      <c r="F13" s="5" t="n"/>
      <c r="G13" s="2" t="n"/>
      <c r="H13" s="2" t="n"/>
      <c r="I13" s="5" t="n"/>
      <c r="J13" s="2" t="n"/>
      <c r="K13" s="2" t="n"/>
      <c r="L13" s="6" t="n"/>
      <c r="M13" s="2" t="n"/>
      <c r="N13" s="2" t="n"/>
      <c r="O13" s="3" t="n"/>
      <c r="P13" s="2" t="n"/>
      <c r="Q13" s="2" t="n"/>
      <c r="R13" s="2" t="n"/>
      <c r="S13" s="2">
        <f>IF(A13="","",IF(OR(C13="",G13="",J13="",K13="",L13="",M13="",N13="",O13="",P13="",Project!$B$10="",Project!$B$11=""),"Incomplete","Ready"))</f>
        <v/>
      </c>
      <c r="T13" s="6">
        <f>IF(S13&lt;&gt;"Ready","",ROUND(J13*L13*N13,2))</f>
        <v/>
      </c>
      <c r="U13" s="6">
        <f>IF(S13&lt;&gt;"Ready","",ROUND(L13*N13*(1+O13),2))</f>
        <v/>
      </c>
      <c r="V13" s="6">
        <f>IF(S13&lt;&gt;"Ready","",ROUND(J13*U13,2))</f>
        <v/>
      </c>
      <c r="W13" s="6">
        <f>IF(S13&lt;&gt;"Ready","",V13-T13)</f>
        <v/>
      </c>
      <c r="X13" s="3">
        <f>IF(S13&lt;&gt;"Ready","",IF(V13=0,0,W13/V13))</f>
        <v/>
      </c>
      <c r="Y13" s="6">
        <f>IF(S13&lt;&gt;"Ready","",IF(P13="Yes",ROUND(V13*Project!$B$11,2),0))</f>
        <v/>
      </c>
    </row>
    <row r="14">
      <c r="A14" s="2" t="n"/>
      <c r="B14" s="2" t="n"/>
      <c r="C14" s="2" t="n"/>
      <c r="D14" s="2" t="n"/>
      <c r="E14" s="2" t="n"/>
      <c r="F14" s="5" t="n"/>
      <c r="G14" s="2" t="n"/>
      <c r="H14" s="2" t="n"/>
      <c r="I14" s="5" t="n"/>
      <c r="J14" s="2" t="n"/>
      <c r="K14" s="2" t="n"/>
      <c r="L14" s="6" t="n"/>
      <c r="M14" s="2" t="n"/>
      <c r="N14" s="2" t="n"/>
      <c r="O14" s="3" t="n"/>
      <c r="P14" s="2" t="n"/>
      <c r="Q14" s="2" t="n"/>
      <c r="R14" s="2" t="n"/>
      <c r="S14" s="2">
        <f>IF(A14="","",IF(OR(C14="",G14="",J14="",K14="",L14="",M14="",N14="",O14="",P14="",Project!$B$10="",Project!$B$11=""),"Incomplete","Ready"))</f>
        <v/>
      </c>
      <c r="T14" s="6">
        <f>IF(S14&lt;&gt;"Ready","",ROUND(J14*L14*N14,2))</f>
        <v/>
      </c>
      <c r="U14" s="6">
        <f>IF(S14&lt;&gt;"Ready","",ROUND(L14*N14*(1+O14),2))</f>
        <v/>
      </c>
      <c r="V14" s="6">
        <f>IF(S14&lt;&gt;"Ready","",ROUND(J14*U14,2))</f>
        <v/>
      </c>
      <c r="W14" s="6">
        <f>IF(S14&lt;&gt;"Ready","",V14-T14)</f>
        <v/>
      </c>
      <c r="X14" s="3">
        <f>IF(S14&lt;&gt;"Ready","",IF(V14=0,0,W14/V14))</f>
        <v/>
      </c>
      <c r="Y14" s="6">
        <f>IF(S14&lt;&gt;"Ready","",IF(P14="Yes",ROUND(V14*Project!$B$11,2),0))</f>
        <v/>
      </c>
    </row>
    <row r="15">
      <c r="A15" s="2" t="n"/>
      <c r="B15" s="2" t="n"/>
      <c r="C15" s="2" t="n"/>
      <c r="D15" s="2" t="n"/>
      <c r="E15" s="2" t="n"/>
      <c r="F15" s="5" t="n"/>
      <c r="G15" s="2" t="n"/>
      <c r="H15" s="2" t="n"/>
      <c r="I15" s="5" t="n"/>
      <c r="J15" s="2" t="n"/>
      <c r="K15" s="2" t="n"/>
      <c r="L15" s="6" t="n"/>
      <c r="M15" s="2" t="n"/>
      <c r="N15" s="2" t="n"/>
      <c r="O15" s="3" t="n"/>
      <c r="P15" s="2" t="n"/>
      <c r="Q15" s="2" t="n"/>
      <c r="R15" s="2" t="n"/>
      <c r="S15" s="2">
        <f>IF(A15="","",IF(OR(C15="",G15="",J15="",K15="",L15="",M15="",N15="",O15="",P15="",Project!$B$10="",Project!$B$11=""),"Incomplete","Ready"))</f>
        <v/>
      </c>
      <c r="T15" s="6">
        <f>IF(S15&lt;&gt;"Ready","",ROUND(J15*L15*N15,2))</f>
        <v/>
      </c>
      <c r="U15" s="6">
        <f>IF(S15&lt;&gt;"Ready","",ROUND(L15*N15*(1+O15),2))</f>
        <v/>
      </c>
      <c r="V15" s="6">
        <f>IF(S15&lt;&gt;"Ready","",ROUND(J15*U15,2))</f>
        <v/>
      </c>
      <c r="W15" s="6">
        <f>IF(S15&lt;&gt;"Ready","",V15-T15)</f>
        <v/>
      </c>
      <c r="X15" s="3">
        <f>IF(S15&lt;&gt;"Ready","",IF(V15=0,0,W15/V15))</f>
        <v/>
      </c>
      <c r="Y15" s="6">
        <f>IF(S15&lt;&gt;"Ready","",IF(P15="Yes",ROUND(V15*Project!$B$11,2),0))</f>
        <v/>
      </c>
    </row>
    <row r="16">
      <c r="A16" s="2" t="n"/>
      <c r="B16" s="2" t="n"/>
      <c r="C16" s="2" t="n"/>
      <c r="D16" s="2" t="n"/>
      <c r="E16" s="2" t="n"/>
      <c r="F16" s="5" t="n"/>
      <c r="G16" s="2" t="n"/>
      <c r="H16" s="2" t="n"/>
      <c r="I16" s="5" t="n"/>
      <c r="J16" s="2" t="n"/>
      <c r="K16" s="2" t="n"/>
      <c r="L16" s="6" t="n"/>
      <c r="M16" s="2" t="n"/>
      <c r="N16" s="2" t="n"/>
      <c r="O16" s="3" t="n"/>
      <c r="P16" s="2" t="n"/>
      <c r="Q16" s="2" t="n"/>
      <c r="R16" s="2" t="n"/>
      <c r="S16" s="2">
        <f>IF(A16="","",IF(OR(C16="",G16="",J16="",K16="",L16="",M16="",N16="",O16="",P16="",Project!$B$10="",Project!$B$11=""),"Incomplete","Ready"))</f>
        <v/>
      </c>
      <c r="T16" s="6">
        <f>IF(S16&lt;&gt;"Ready","",ROUND(J16*L16*N16,2))</f>
        <v/>
      </c>
      <c r="U16" s="6">
        <f>IF(S16&lt;&gt;"Ready","",ROUND(L16*N16*(1+O16),2))</f>
        <v/>
      </c>
      <c r="V16" s="6">
        <f>IF(S16&lt;&gt;"Ready","",ROUND(J16*U16,2))</f>
        <v/>
      </c>
      <c r="W16" s="6">
        <f>IF(S16&lt;&gt;"Ready","",V16-T16)</f>
        <v/>
      </c>
      <c r="X16" s="3">
        <f>IF(S16&lt;&gt;"Ready","",IF(V16=0,0,W16/V16))</f>
        <v/>
      </c>
      <c r="Y16" s="6">
        <f>IF(S16&lt;&gt;"Ready","",IF(P16="Yes",ROUND(V16*Project!$B$11,2),0))</f>
        <v/>
      </c>
    </row>
    <row r="17">
      <c r="A17" s="2" t="n"/>
      <c r="B17" s="2" t="n"/>
      <c r="C17" s="2" t="n"/>
      <c r="D17" s="2" t="n"/>
      <c r="E17" s="2" t="n"/>
      <c r="F17" s="5" t="n"/>
      <c r="G17" s="2" t="n"/>
      <c r="H17" s="2" t="n"/>
      <c r="I17" s="5" t="n"/>
      <c r="J17" s="2" t="n"/>
      <c r="K17" s="2" t="n"/>
      <c r="L17" s="6" t="n"/>
      <c r="M17" s="2" t="n"/>
      <c r="N17" s="2" t="n"/>
      <c r="O17" s="3" t="n"/>
      <c r="P17" s="2" t="n"/>
      <c r="Q17" s="2" t="n"/>
      <c r="R17" s="2" t="n"/>
      <c r="S17" s="2">
        <f>IF(A17="","",IF(OR(C17="",G17="",J17="",K17="",L17="",M17="",N17="",O17="",P17="",Project!$B$10="",Project!$B$11=""),"Incomplete","Ready"))</f>
        <v/>
      </c>
      <c r="T17" s="6">
        <f>IF(S17&lt;&gt;"Ready","",ROUND(J17*L17*N17,2))</f>
        <v/>
      </c>
      <c r="U17" s="6">
        <f>IF(S17&lt;&gt;"Ready","",ROUND(L17*N17*(1+O17),2))</f>
        <v/>
      </c>
      <c r="V17" s="6">
        <f>IF(S17&lt;&gt;"Ready","",ROUND(J17*U17,2))</f>
        <v/>
      </c>
      <c r="W17" s="6">
        <f>IF(S17&lt;&gt;"Ready","",V17-T17)</f>
        <v/>
      </c>
      <c r="X17" s="3">
        <f>IF(S17&lt;&gt;"Ready","",IF(V17=0,0,W17/V17))</f>
        <v/>
      </c>
      <c r="Y17" s="6">
        <f>IF(S17&lt;&gt;"Ready","",IF(P17="Yes",ROUND(V17*Project!$B$11,2),0))</f>
        <v/>
      </c>
    </row>
    <row r="18">
      <c r="A18" s="2" t="n"/>
      <c r="B18" s="2" t="n"/>
      <c r="C18" s="2" t="n"/>
      <c r="D18" s="2" t="n"/>
      <c r="E18" s="2" t="n"/>
      <c r="F18" s="5" t="n"/>
      <c r="G18" s="2" t="n"/>
      <c r="H18" s="2" t="n"/>
      <c r="I18" s="5" t="n"/>
      <c r="J18" s="2" t="n"/>
      <c r="K18" s="2" t="n"/>
      <c r="L18" s="6" t="n"/>
      <c r="M18" s="2" t="n"/>
      <c r="N18" s="2" t="n"/>
      <c r="O18" s="3" t="n"/>
      <c r="P18" s="2" t="n"/>
      <c r="Q18" s="2" t="n"/>
      <c r="R18" s="2" t="n"/>
      <c r="S18" s="2">
        <f>IF(A18="","",IF(OR(C18="",G18="",J18="",K18="",L18="",M18="",N18="",O18="",P18="",Project!$B$10="",Project!$B$11=""),"Incomplete","Ready"))</f>
        <v/>
      </c>
      <c r="T18" s="6">
        <f>IF(S18&lt;&gt;"Ready","",ROUND(J18*L18*N18,2))</f>
        <v/>
      </c>
      <c r="U18" s="6">
        <f>IF(S18&lt;&gt;"Ready","",ROUND(L18*N18*(1+O18),2))</f>
        <v/>
      </c>
      <c r="V18" s="6">
        <f>IF(S18&lt;&gt;"Ready","",ROUND(J18*U18,2))</f>
        <v/>
      </c>
      <c r="W18" s="6">
        <f>IF(S18&lt;&gt;"Ready","",V18-T18)</f>
        <v/>
      </c>
      <c r="X18" s="3">
        <f>IF(S18&lt;&gt;"Ready","",IF(V18=0,0,W18/V18))</f>
        <v/>
      </c>
      <c r="Y18" s="6">
        <f>IF(S18&lt;&gt;"Ready","",IF(P18="Yes",ROUND(V18*Project!$B$11,2),0))</f>
        <v/>
      </c>
    </row>
    <row r="19">
      <c r="A19" s="2" t="n"/>
      <c r="B19" s="2" t="n"/>
      <c r="C19" s="2" t="n"/>
      <c r="D19" s="2" t="n"/>
      <c r="E19" s="2" t="n"/>
      <c r="F19" s="5" t="n"/>
      <c r="G19" s="2" t="n"/>
      <c r="H19" s="2" t="n"/>
      <c r="I19" s="5" t="n"/>
      <c r="J19" s="2" t="n"/>
      <c r="K19" s="2" t="n"/>
      <c r="L19" s="6" t="n"/>
      <c r="M19" s="2" t="n"/>
      <c r="N19" s="2" t="n"/>
      <c r="O19" s="3" t="n"/>
      <c r="P19" s="2" t="n"/>
      <c r="Q19" s="2" t="n"/>
      <c r="R19" s="2" t="n"/>
      <c r="S19" s="2">
        <f>IF(A19="","",IF(OR(C19="",G19="",J19="",K19="",L19="",M19="",N19="",O19="",P19="",Project!$B$10="",Project!$B$11=""),"Incomplete","Ready"))</f>
        <v/>
      </c>
      <c r="T19" s="6">
        <f>IF(S19&lt;&gt;"Ready","",ROUND(J19*L19*N19,2))</f>
        <v/>
      </c>
      <c r="U19" s="6">
        <f>IF(S19&lt;&gt;"Ready","",ROUND(L19*N19*(1+O19),2))</f>
        <v/>
      </c>
      <c r="V19" s="6">
        <f>IF(S19&lt;&gt;"Ready","",ROUND(J19*U19,2))</f>
        <v/>
      </c>
      <c r="W19" s="6">
        <f>IF(S19&lt;&gt;"Ready","",V19-T19)</f>
        <v/>
      </c>
      <c r="X19" s="3">
        <f>IF(S19&lt;&gt;"Ready","",IF(V19=0,0,W19/V19))</f>
        <v/>
      </c>
      <c r="Y19" s="6">
        <f>IF(S19&lt;&gt;"Ready","",IF(P19="Yes",ROUND(V19*Project!$B$11,2),0))</f>
        <v/>
      </c>
    </row>
    <row r="20">
      <c r="A20" s="2" t="n"/>
      <c r="B20" s="2" t="n"/>
      <c r="C20" s="2" t="n"/>
      <c r="D20" s="2" t="n"/>
      <c r="E20" s="2" t="n"/>
      <c r="F20" s="5" t="n"/>
      <c r="G20" s="2" t="n"/>
      <c r="H20" s="2" t="n"/>
      <c r="I20" s="5" t="n"/>
      <c r="J20" s="2" t="n"/>
      <c r="K20" s="2" t="n"/>
      <c r="L20" s="6" t="n"/>
      <c r="M20" s="2" t="n"/>
      <c r="N20" s="2" t="n"/>
      <c r="O20" s="3" t="n"/>
      <c r="P20" s="2" t="n"/>
      <c r="Q20" s="2" t="n"/>
      <c r="R20" s="2" t="n"/>
      <c r="S20" s="2">
        <f>IF(A20="","",IF(OR(C20="",G20="",J20="",K20="",L20="",M20="",N20="",O20="",P20="",Project!$B$10="",Project!$B$11=""),"Incomplete","Ready"))</f>
        <v/>
      </c>
      <c r="T20" s="6">
        <f>IF(S20&lt;&gt;"Ready","",ROUND(J20*L20*N20,2))</f>
        <v/>
      </c>
      <c r="U20" s="6">
        <f>IF(S20&lt;&gt;"Ready","",ROUND(L20*N20*(1+O20),2))</f>
        <v/>
      </c>
      <c r="V20" s="6">
        <f>IF(S20&lt;&gt;"Ready","",ROUND(J20*U20,2))</f>
        <v/>
      </c>
      <c r="W20" s="6">
        <f>IF(S20&lt;&gt;"Ready","",V20-T20)</f>
        <v/>
      </c>
      <c r="X20" s="3">
        <f>IF(S20&lt;&gt;"Ready","",IF(V20=0,0,W20/V20))</f>
        <v/>
      </c>
      <c r="Y20" s="6">
        <f>IF(S20&lt;&gt;"Ready","",IF(P20="Yes",ROUND(V20*Project!$B$11,2),0))</f>
        <v/>
      </c>
    </row>
    <row r="21">
      <c r="A21" s="2" t="n"/>
      <c r="B21" s="2" t="n"/>
      <c r="C21" s="2" t="n"/>
      <c r="D21" s="2" t="n"/>
      <c r="E21" s="2" t="n"/>
      <c r="F21" s="5" t="n"/>
      <c r="G21" s="2" t="n"/>
      <c r="H21" s="2" t="n"/>
      <c r="I21" s="5" t="n"/>
      <c r="J21" s="2" t="n"/>
      <c r="K21" s="2" t="n"/>
      <c r="L21" s="6" t="n"/>
      <c r="M21" s="2" t="n"/>
      <c r="N21" s="2" t="n"/>
      <c r="O21" s="3" t="n"/>
      <c r="P21" s="2" t="n"/>
      <c r="Q21" s="2" t="n"/>
      <c r="R21" s="2" t="n"/>
      <c r="S21" s="2">
        <f>IF(A21="","",IF(OR(C21="",G21="",J21="",K21="",L21="",M21="",N21="",O21="",P21="",Project!$B$10="",Project!$B$11=""),"Incomplete","Ready"))</f>
        <v/>
      </c>
      <c r="T21" s="6">
        <f>IF(S21&lt;&gt;"Ready","",ROUND(J21*L21*N21,2))</f>
        <v/>
      </c>
      <c r="U21" s="6">
        <f>IF(S21&lt;&gt;"Ready","",ROUND(L21*N21*(1+O21),2))</f>
        <v/>
      </c>
      <c r="V21" s="6">
        <f>IF(S21&lt;&gt;"Ready","",ROUND(J21*U21,2))</f>
        <v/>
      </c>
      <c r="W21" s="6">
        <f>IF(S21&lt;&gt;"Ready","",V21-T21)</f>
        <v/>
      </c>
      <c r="X21" s="3">
        <f>IF(S21&lt;&gt;"Ready","",IF(V21=0,0,W21/V21))</f>
        <v/>
      </c>
      <c r="Y21" s="6">
        <f>IF(S21&lt;&gt;"Ready","",IF(P21="Yes",ROUND(V21*Project!$B$11,2),0))</f>
        <v/>
      </c>
    </row>
    <row r="22">
      <c r="A22" s="2" t="n"/>
      <c r="B22" s="2" t="n"/>
      <c r="C22" s="2" t="n"/>
      <c r="D22" s="2" t="n"/>
      <c r="E22" s="2" t="n"/>
      <c r="F22" s="5" t="n"/>
      <c r="G22" s="2" t="n"/>
      <c r="H22" s="2" t="n"/>
      <c r="I22" s="5" t="n"/>
      <c r="J22" s="2" t="n"/>
      <c r="K22" s="2" t="n"/>
      <c r="L22" s="6" t="n"/>
      <c r="M22" s="2" t="n"/>
      <c r="N22" s="2" t="n"/>
      <c r="O22" s="3" t="n"/>
      <c r="P22" s="2" t="n"/>
      <c r="Q22" s="2" t="n"/>
      <c r="R22" s="2" t="n"/>
      <c r="S22" s="2">
        <f>IF(A22="","",IF(OR(C22="",G22="",J22="",K22="",L22="",M22="",N22="",O22="",P22="",Project!$B$10="",Project!$B$11=""),"Incomplete","Ready"))</f>
        <v/>
      </c>
      <c r="T22" s="6">
        <f>IF(S22&lt;&gt;"Ready","",ROUND(J22*L22*N22,2))</f>
        <v/>
      </c>
      <c r="U22" s="6">
        <f>IF(S22&lt;&gt;"Ready","",ROUND(L22*N22*(1+O22),2))</f>
        <v/>
      </c>
      <c r="V22" s="6">
        <f>IF(S22&lt;&gt;"Ready","",ROUND(J22*U22,2))</f>
        <v/>
      </c>
      <c r="W22" s="6">
        <f>IF(S22&lt;&gt;"Ready","",V22-T22)</f>
        <v/>
      </c>
      <c r="X22" s="3">
        <f>IF(S22&lt;&gt;"Ready","",IF(V22=0,0,W22/V22))</f>
        <v/>
      </c>
      <c r="Y22" s="6">
        <f>IF(S22&lt;&gt;"Ready","",IF(P22="Yes",ROUND(V22*Project!$B$11,2),0))</f>
        <v/>
      </c>
    </row>
    <row r="23">
      <c r="A23" s="2" t="n"/>
      <c r="B23" s="2" t="n"/>
      <c r="C23" s="2" t="n"/>
      <c r="D23" s="2" t="n"/>
      <c r="E23" s="2" t="n"/>
      <c r="F23" s="5" t="n"/>
      <c r="G23" s="2" t="n"/>
      <c r="H23" s="2" t="n"/>
      <c r="I23" s="5" t="n"/>
      <c r="J23" s="2" t="n"/>
      <c r="K23" s="2" t="n"/>
      <c r="L23" s="6" t="n"/>
      <c r="M23" s="2" t="n"/>
      <c r="N23" s="2" t="n"/>
      <c r="O23" s="3" t="n"/>
      <c r="P23" s="2" t="n"/>
      <c r="Q23" s="2" t="n"/>
      <c r="R23" s="2" t="n"/>
      <c r="S23" s="2">
        <f>IF(A23="","",IF(OR(C23="",G23="",J23="",K23="",L23="",M23="",N23="",O23="",P23="",Project!$B$10="",Project!$B$11=""),"Incomplete","Ready"))</f>
        <v/>
      </c>
      <c r="T23" s="6">
        <f>IF(S23&lt;&gt;"Ready","",ROUND(J23*L23*N23,2))</f>
        <v/>
      </c>
      <c r="U23" s="6">
        <f>IF(S23&lt;&gt;"Ready","",ROUND(L23*N23*(1+O23),2))</f>
        <v/>
      </c>
      <c r="V23" s="6">
        <f>IF(S23&lt;&gt;"Ready","",ROUND(J23*U23,2))</f>
        <v/>
      </c>
      <c r="W23" s="6">
        <f>IF(S23&lt;&gt;"Ready","",V23-T23)</f>
        <v/>
      </c>
      <c r="X23" s="3">
        <f>IF(S23&lt;&gt;"Ready","",IF(V23=0,0,W23/V23))</f>
        <v/>
      </c>
      <c r="Y23" s="6">
        <f>IF(S23&lt;&gt;"Ready","",IF(P23="Yes",ROUND(V23*Project!$B$11,2),0))</f>
        <v/>
      </c>
    </row>
    <row r="24">
      <c r="A24" s="2" t="n"/>
      <c r="B24" s="2" t="n"/>
      <c r="C24" s="2" t="n"/>
      <c r="D24" s="2" t="n"/>
      <c r="E24" s="2" t="n"/>
      <c r="F24" s="5" t="n"/>
      <c r="G24" s="2" t="n"/>
      <c r="H24" s="2" t="n"/>
      <c r="I24" s="5" t="n"/>
      <c r="J24" s="2" t="n"/>
      <c r="K24" s="2" t="n"/>
      <c r="L24" s="6" t="n"/>
      <c r="M24" s="2" t="n"/>
      <c r="N24" s="2" t="n"/>
      <c r="O24" s="3" t="n"/>
      <c r="P24" s="2" t="n"/>
      <c r="Q24" s="2" t="n"/>
      <c r="R24" s="2" t="n"/>
      <c r="S24" s="2">
        <f>IF(A24="","",IF(OR(C24="",G24="",J24="",K24="",L24="",M24="",N24="",O24="",P24="",Project!$B$10="",Project!$B$11=""),"Incomplete","Ready"))</f>
        <v/>
      </c>
      <c r="T24" s="6">
        <f>IF(S24&lt;&gt;"Ready","",ROUND(J24*L24*N24,2))</f>
        <v/>
      </c>
      <c r="U24" s="6">
        <f>IF(S24&lt;&gt;"Ready","",ROUND(L24*N24*(1+O24),2))</f>
        <v/>
      </c>
      <c r="V24" s="6">
        <f>IF(S24&lt;&gt;"Ready","",ROUND(J24*U24,2))</f>
        <v/>
      </c>
      <c r="W24" s="6">
        <f>IF(S24&lt;&gt;"Ready","",V24-T24)</f>
        <v/>
      </c>
      <c r="X24" s="3">
        <f>IF(S24&lt;&gt;"Ready","",IF(V24=0,0,W24/V24))</f>
        <v/>
      </c>
      <c r="Y24" s="6">
        <f>IF(S24&lt;&gt;"Ready","",IF(P24="Yes",ROUND(V24*Project!$B$11,2),0))</f>
        <v/>
      </c>
    </row>
    <row r="25">
      <c r="A25" s="2" t="n"/>
      <c r="B25" s="2" t="n"/>
      <c r="C25" s="2" t="n"/>
      <c r="D25" s="2" t="n"/>
      <c r="E25" s="2" t="n"/>
      <c r="F25" s="5" t="n"/>
      <c r="G25" s="2" t="n"/>
      <c r="H25" s="2" t="n"/>
      <c r="I25" s="5" t="n"/>
      <c r="J25" s="2" t="n"/>
      <c r="K25" s="2" t="n"/>
      <c r="L25" s="6" t="n"/>
      <c r="M25" s="2" t="n"/>
      <c r="N25" s="2" t="n"/>
      <c r="O25" s="3" t="n"/>
      <c r="P25" s="2" t="n"/>
      <c r="Q25" s="2" t="n"/>
      <c r="R25" s="2" t="n"/>
      <c r="S25" s="2">
        <f>IF(A25="","",IF(OR(C25="",G25="",J25="",K25="",L25="",M25="",N25="",O25="",P25="",Project!$B$10="",Project!$B$11=""),"Incomplete","Ready"))</f>
        <v/>
      </c>
      <c r="T25" s="6">
        <f>IF(S25&lt;&gt;"Ready","",ROUND(J25*L25*N25,2))</f>
        <v/>
      </c>
      <c r="U25" s="6">
        <f>IF(S25&lt;&gt;"Ready","",ROUND(L25*N25*(1+O25),2))</f>
        <v/>
      </c>
      <c r="V25" s="6">
        <f>IF(S25&lt;&gt;"Ready","",ROUND(J25*U25,2))</f>
        <v/>
      </c>
      <c r="W25" s="6">
        <f>IF(S25&lt;&gt;"Ready","",V25-T25)</f>
        <v/>
      </c>
      <c r="X25" s="3">
        <f>IF(S25&lt;&gt;"Ready","",IF(V25=0,0,W25/V25))</f>
        <v/>
      </c>
      <c r="Y25" s="6">
        <f>IF(S25&lt;&gt;"Ready","",IF(P25="Yes",ROUND(V25*Project!$B$11,2),0))</f>
        <v/>
      </c>
    </row>
    <row r="26">
      <c r="A26" s="2" t="n"/>
      <c r="B26" s="2" t="n"/>
      <c r="C26" s="2" t="n"/>
      <c r="D26" s="2" t="n"/>
      <c r="E26" s="2" t="n"/>
      <c r="F26" s="5" t="n"/>
      <c r="G26" s="2" t="n"/>
      <c r="H26" s="2" t="n"/>
      <c r="I26" s="5" t="n"/>
      <c r="J26" s="2" t="n"/>
      <c r="K26" s="2" t="n"/>
      <c r="L26" s="6" t="n"/>
      <c r="M26" s="2" t="n"/>
      <c r="N26" s="2" t="n"/>
      <c r="O26" s="3" t="n"/>
      <c r="P26" s="2" t="n"/>
      <c r="Q26" s="2" t="n"/>
      <c r="R26" s="2" t="n"/>
      <c r="S26" s="2">
        <f>IF(A26="","",IF(OR(C26="",G26="",J26="",K26="",L26="",M26="",N26="",O26="",P26="",Project!$B$10="",Project!$B$11=""),"Incomplete","Ready"))</f>
        <v/>
      </c>
      <c r="T26" s="6">
        <f>IF(S26&lt;&gt;"Ready","",ROUND(J26*L26*N26,2))</f>
        <v/>
      </c>
      <c r="U26" s="6">
        <f>IF(S26&lt;&gt;"Ready","",ROUND(L26*N26*(1+O26),2))</f>
        <v/>
      </c>
      <c r="V26" s="6">
        <f>IF(S26&lt;&gt;"Ready","",ROUND(J26*U26,2))</f>
        <v/>
      </c>
      <c r="W26" s="6">
        <f>IF(S26&lt;&gt;"Ready","",V26-T26)</f>
        <v/>
      </c>
      <c r="X26" s="3">
        <f>IF(S26&lt;&gt;"Ready","",IF(V26=0,0,W26/V26))</f>
        <v/>
      </c>
      <c r="Y26" s="6">
        <f>IF(S26&lt;&gt;"Ready","",IF(P26="Yes",ROUND(V26*Project!$B$11,2),0))</f>
        <v/>
      </c>
    </row>
    <row r="27">
      <c r="A27" s="2" t="n"/>
      <c r="B27" s="2" t="n"/>
      <c r="C27" s="2" t="n"/>
      <c r="D27" s="2" t="n"/>
      <c r="E27" s="2" t="n"/>
      <c r="F27" s="5" t="n"/>
      <c r="G27" s="2" t="n"/>
      <c r="H27" s="2" t="n"/>
      <c r="I27" s="5" t="n"/>
      <c r="J27" s="2" t="n"/>
      <c r="K27" s="2" t="n"/>
      <c r="L27" s="6" t="n"/>
      <c r="M27" s="2" t="n"/>
      <c r="N27" s="2" t="n"/>
      <c r="O27" s="3" t="n"/>
      <c r="P27" s="2" t="n"/>
      <c r="Q27" s="2" t="n"/>
      <c r="R27" s="2" t="n"/>
      <c r="S27" s="2">
        <f>IF(A27="","",IF(OR(C27="",G27="",J27="",K27="",L27="",M27="",N27="",O27="",P27="",Project!$B$10="",Project!$B$11=""),"Incomplete","Ready"))</f>
        <v/>
      </c>
      <c r="T27" s="6">
        <f>IF(S27&lt;&gt;"Ready","",ROUND(J27*L27*N27,2))</f>
        <v/>
      </c>
      <c r="U27" s="6">
        <f>IF(S27&lt;&gt;"Ready","",ROUND(L27*N27*(1+O27),2))</f>
        <v/>
      </c>
      <c r="V27" s="6">
        <f>IF(S27&lt;&gt;"Ready","",ROUND(J27*U27,2))</f>
        <v/>
      </c>
      <c r="W27" s="6">
        <f>IF(S27&lt;&gt;"Ready","",V27-T27)</f>
        <v/>
      </c>
      <c r="X27" s="3">
        <f>IF(S27&lt;&gt;"Ready","",IF(V27=0,0,W27/V27))</f>
        <v/>
      </c>
      <c r="Y27" s="6">
        <f>IF(S27&lt;&gt;"Ready","",IF(P27="Yes",ROUND(V27*Project!$B$11,2),0))</f>
        <v/>
      </c>
    </row>
    <row r="28">
      <c r="A28" s="2" t="n"/>
      <c r="B28" s="2" t="n"/>
      <c r="C28" s="2" t="n"/>
      <c r="D28" s="2" t="n"/>
      <c r="E28" s="2" t="n"/>
      <c r="F28" s="5" t="n"/>
      <c r="G28" s="2" t="n"/>
      <c r="H28" s="2" t="n"/>
      <c r="I28" s="5" t="n"/>
      <c r="J28" s="2" t="n"/>
      <c r="K28" s="2" t="n"/>
      <c r="L28" s="6" t="n"/>
      <c r="M28" s="2" t="n"/>
      <c r="N28" s="2" t="n"/>
      <c r="O28" s="3" t="n"/>
      <c r="P28" s="2" t="n"/>
      <c r="Q28" s="2" t="n"/>
      <c r="R28" s="2" t="n"/>
      <c r="S28" s="2">
        <f>IF(A28="","",IF(OR(C28="",G28="",J28="",K28="",L28="",M28="",N28="",O28="",P28="",Project!$B$10="",Project!$B$11=""),"Incomplete","Ready"))</f>
        <v/>
      </c>
      <c r="T28" s="6">
        <f>IF(S28&lt;&gt;"Ready","",ROUND(J28*L28*N28,2))</f>
        <v/>
      </c>
      <c r="U28" s="6">
        <f>IF(S28&lt;&gt;"Ready","",ROUND(L28*N28*(1+O28),2))</f>
        <v/>
      </c>
      <c r="V28" s="6">
        <f>IF(S28&lt;&gt;"Ready","",ROUND(J28*U28,2))</f>
        <v/>
      </c>
      <c r="W28" s="6">
        <f>IF(S28&lt;&gt;"Ready","",V28-T28)</f>
        <v/>
      </c>
      <c r="X28" s="3">
        <f>IF(S28&lt;&gt;"Ready","",IF(V28=0,0,W28/V28))</f>
        <v/>
      </c>
      <c r="Y28" s="6">
        <f>IF(S28&lt;&gt;"Ready","",IF(P28="Yes",ROUND(V28*Project!$B$11,2),0))</f>
        <v/>
      </c>
    </row>
    <row r="29">
      <c r="A29" s="2" t="n"/>
      <c r="B29" s="2" t="n"/>
      <c r="C29" s="2" t="n"/>
      <c r="D29" s="2" t="n"/>
      <c r="E29" s="2" t="n"/>
      <c r="F29" s="5" t="n"/>
      <c r="G29" s="2" t="n"/>
      <c r="H29" s="2" t="n"/>
      <c r="I29" s="5" t="n"/>
      <c r="J29" s="2" t="n"/>
      <c r="K29" s="2" t="n"/>
      <c r="L29" s="6" t="n"/>
      <c r="M29" s="2" t="n"/>
      <c r="N29" s="2" t="n"/>
      <c r="O29" s="3" t="n"/>
      <c r="P29" s="2" t="n"/>
      <c r="Q29" s="2" t="n"/>
      <c r="R29" s="2" t="n"/>
      <c r="S29" s="2">
        <f>IF(A29="","",IF(OR(C29="",G29="",J29="",K29="",L29="",M29="",N29="",O29="",P29="",Project!$B$10="",Project!$B$11=""),"Incomplete","Ready"))</f>
        <v/>
      </c>
      <c r="T29" s="6">
        <f>IF(S29&lt;&gt;"Ready","",ROUND(J29*L29*N29,2))</f>
        <v/>
      </c>
      <c r="U29" s="6">
        <f>IF(S29&lt;&gt;"Ready","",ROUND(L29*N29*(1+O29),2))</f>
        <v/>
      </c>
      <c r="V29" s="6">
        <f>IF(S29&lt;&gt;"Ready","",ROUND(J29*U29,2))</f>
        <v/>
      </c>
      <c r="W29" s="6">
        <f>IF(S29&lt;&gt;"Ready","",V29-T29)</f>
        <v/>
      </c>
      <c r="X29" s="3">
        <f>IF(S29&lt;&gt;"Ready","",IF(V29=0,0,W29/V29))</f>
        <v/>
      </c>
      <c r="Y29" s="6">
        <f>IF(S29&lt;&gt;"Ready","",IF(P29="Yes",ROUND(V29*Project!$B$11,2),0))</f>
        <v/>
      </c>
    </row>
    <row r="30">
      <c r="A30" s="2" t="n"/>
      <c r="B30" s="2" t="n"/>
      <c r="C30" s="2" t="n"/>
      <c r="D30" s="2" t="n"/>
      <c r="E30" s="2" t="n"/>
      <c r="F30" s="5" t="n"/>
      <c r="G30" s="2" t="n"/>
      <c r="H30" s="2" t="n"/>
      <c r="I30" s="5" t="n"/>
      <c r="J30" s="2" t="n"/>
      <c r="K30" s="2" t="n"/>
      <c r="L30" s="6" t="n"/>
      <c r="M30" s="2" t="n"/>
      <c r="N30" s="2" t="n"/>
      <c r="O30" s="3" t="n"/>
      <c r="P30" s="2" t="n"/>
      <c r="Q30" s="2" t="n"/>
      <c r="R30" s="2" t="n"/>
      <c r="S30" s="2">
        <f>IF(A30="","",IF(OR(C30="",G30="",J30="",K30="",L30="",M30="",N30="",O30="",P30="",Project!$B$10="",Project!$B$11=""),"Incomplete","Ready"))</f>
        <v/>
      </c>
      <c r="T30" s="6">
        <f>IF(S30&lt;&gt;"Ready","",ROUND(J30*L30*N30,2))</f>
        <v/>
      </c>
      <c r="U30" s="6">
        <f>IF(S30&lt;&gt;"Ready","",ROUND(L30*N30*(1+O30),2))</f>
        <v/>
      </c>
      <c r="V30" s="6">
        <f>IF(S30&lt;&gt;"Ready","",ROUND(J30*U30,2))</f>
        <v/>
      </c>
      <c r="W30" s="6">
        <f>IF(S30&lt;&gt;"Ready","",V30-T30)</f>
        <v/>
      </c>
      <c r="X30" s="3">
        <f>IF(S30&lt;&gt;"Ready","",IF(V30=0,0,W30/V30))</f>
        <v/>
      </c>
      <c r="Y30" s="6">
        <f>IF(S30&lt;&gt;"Ready","",IF(P30="Yes",ROUND(V30*Project!$B$11,2),0))</f>
        <v/>
      </c>
    </row>
    <row r="31">
      <c r="A31" s="2" t="n"/>
      <c r="B31" s="2" t="n"/>
      <c r="C31" s="2" t="n"/>
      <c r="D31" s="2" t="n"/>
      <c r="E31" s="2" t="n"/>
      <c r="F31" s="5" t="n"/>
      <c r="G31" s="2" t="n"/>
      <c r="H31" s="2" t="n"/>
      <c r="I31" s="5" t="n"/>
      <c r="J31" s="2" t="n"/>
      <c r="K31" s="2" t="n"/>
      <c r="L31" s="6" t="n"/>
      <c r="M31" s="2" t="n"/>
      <c r="N31" s="2" t="n"/>
      <c r="O31" s="3" t="n"/>
      <c r="P31" s="2" t="n"/>
      <c r="Q31" s="2" t="n"/>
      <c r="R31" s="2" t="n"/>
      <c r="S31" s="2">
        <f>IF(A31="","",IF(OR(C31="",G31="",J31="",K31="",L31="",M31="",N31="",O31="",P31="",Project!$B$10="",Project!$B$11=""),"Incomplete","Ready"))</f>
        <v/>
      </c>
      <c r="T31" s="6">
        <f>IF(S31&lt;&gt;"Ready","",ROUND(J31*L31*N31,2))</f>
        <v/>
      </c>
      <c r="U31" s="6">
        <f>IF(S31&lt;&gt;"Ready","",ROUND(L31*N31*(1+O31),2))</f>
        <v/>
      </c>
      <c r="V31" s="6">
        <f>IF(S31&lt;&gt;"Ready","",ROUND(J31*U31,2))</f>
        <v/>
      </c>
      <c r="W31" s="6">
        <f>IF(S31&lt;&gt;"Ready","",V31-T31)</f>
        <v/>
      </c>
      <c r="X31" s="3">
        <f>IF(S31&lt;&gt;"Ready","",IF(V31=0,0,W31/V31))</f>
        <v/>
      </c>
      <c r="Y31" s="6">
        <f>IF(S31&lt;&gt;"Ready","",IF(P31="Yes",ROUND(V31*Project!$B$11,2),0))</f>
        <v/>
      </c>
    </row>
    <row r="32">
      <c r="A32" s="2" t="n"/>
      <c r="B32" s="2" t="n"/>
      <c r="C32" s="2" t="n"/>
      <c r="D32" s="2" t="n"/>
      <c r="E32" s="2" t="n"/>
      <c r="F32" s="5" t="n"/>
      <c r="G32" s="2" t="n"/>
      <c r="H32" s="2" t="n"/>
      <c r="I32" s="5" t="n"/>
      <c r="J32" s="2" t="n"/>
      <c r="K32" s="2" t="n"/>
      <c r="L32" s="6" t="n"/>
      <c r="M32" s="2" t="n"/>
      <c r="N32" s="2" t="n"/>
      <c r="O32" s="3" t="n"/>
      <c r="P32" s="2" t="n"/>
      <c r="Q32" s="2" t="n"/>
      <c r="R32" s="2" t="n"/>
      <c r="S32" s="2">
        <f>IF(A32="","",IF(OR(C32="",G32="",J32="",K32="",L32="",M32="",N32="",O32="",P32="",Project!$B$10="",Project!$B$11=""),"Incomplete","Ready"))</f>
        <v/>
      </c>
      <c r="T32" s="6">
        <f>IF(S32&lt;&gt;"Ready","",ROUND(J32*L32*N32,2))</f>
        <v/>
      </c>
      <c r="U32" s="6">
        <f>IF(S32&lt;&gt;"Ready","",ROUND(L32*N32*(1+O32),2))</f>
        <v/>
      </c>
      <c r="V32" s="6">
        <f>IF(S32&lt;&gt;"Ready","",ROUND(J32*U32,2))</f>
        <v/>
      </c>
      <c r="W32" s="6">
        <f>IF(S32&lt;&gt;"Ready","",V32-T32)</f>
        <v/>
      </c>
      <c r="X32" s="3">
        <f>IF(S32&lt;&gt;"Ready","",IF(V32=0,0,W32/V32))</f>
        <v/>
      </c>
      <c r="Y32" s="6">
        <f>IF(S32&lt;&gt;"Ready","",IF(P32="Yes",ROUND(V32*Project!$B$11,2),0))</f>
        <v/>
      </c>
    </row>
    <row r="33">
      <c r="A33" s="2" t="n"/>
      <c r="B33" s="2" t="n"/>
      <c r="C33" s="2" t="n"/>
      <c r="D33" s="2" t="n"/>
      <c r="E33" s="2" t="n"/>
      <c r="F33" s="5" t="n"/>
      <c r="G33" s="2" t="n"/>
      <c r="H33" s="2" t="n"/>
      <c r="I33" s="5" t="n"/>
      <c r="J33" s="2" t="n"/>
      <c r="K33" s="2" t="n"/>
      <c r="L33" s="6" t="n"/>
      <c r="M33" s="2" t="n"/>
      <c r="N33" s="2" t="n"/>
      <c r="O33" s="3" t="n"/>
      <c r="P33" s="2" t="n"/>
      <c r="Q33" s="2" t="n"/>
      <c r="R33" s="2" t="n"/>
      <c r="S33" s="2">
        <f>IF(A33="","",IF(OR(C33="",G33="",J33="",K33="",L33="",M33="",N33="",O33="",P33="",Project!$B$10="",Project!$B$11=""),"Incomplete","Ready"))</f>
        <v/>
      </c>
      <c r="T33" s="6">
        <f>IF(S33&lt;&gt;"Ready","",ROUND(J33*L33*N33,2))</f>
        <v/>
      </c>
      <c r="U33" s="6">
        <f>IF(S33&lt;&gt;"Ready","",ROUND(L33*N33*(1+O33),2))</f>
        <v/>
      </c>
      <c r="V33" s="6">
        <f>IF(S33&lt;&gt;"Ready","",ROUND(J33*U33,2))</f>
        <v/>
      </c>
      <c r="W33" s="6">
        <f>IF(S33&lt;&gt;"Ready","",V33-T33)</f>
        <v/>
      </c>
      <c r="X33" s="3">
        <f>IF(S33&lt;&gt;"Ready","",IF(V33=0,0,W33/V33))</f>
        <v/>
      </c>
      <c r="Y33" s="6">
        <f>IF(S33&lt;&gt;"Ready","",IF(P33="Yes",ROUND(V33*Project!$B$11,2),0))</f>
        <v/>
      </c>
    </row>
    <row r="34">
      <c r="A34" s="2" t="n"/>
      <c r="B34" s="2" t="n"/>
      <c r="C34" s="2" t="n"/>
      <c r="D34" s="2" t="n"/>
      <c r="E34" s="2" t="n"/>
      <c r="F34" s="5" t="n"/>
      <c r="G34" s="2" t="n"/>
      <c r="H34" s="2" t="n"/>
      <c r="I34" s="5" t="n"/>
      <c r="J34" s="2" t="n"/>
      <c r="K34" s="2" t="n"/>
      <c r="L34" s="6" t="n"/>
      <c r="M34" s="2" t="n"/>
      <c r="N34" s="2" t="n"/>
      <c r="O34" s="3" t="n"/>
      <c r="P34" s="2" t="n"/>
      <c r="Q34" s="2" t="n"/>
      <c r="R34" s="2" t="n"/>
      <c r="S34" s="2">
        <f>IF(A34="","",IF(OR(C34="",G34="",J34="",K34="",L34="",M34="",N34="",O34="",P34="",Project!$B$10="",Project!$B$11=""),"Incomplete","Ready"))</f>
        <v/>
      </c>
      <c r="T34" s="6">
        <f>IF(S34&lt;&gt;"Ready","",ROUND(J34*L34*N34,2))</f>
        <v/>
      </c>
      <c r="U34" s="6">
        <f>IF(S34&lt;&gt;"Ready","",ROUND(L34*N34*(1+O34),2))</f>
        <v/>
      </c>
      <c r="V34" s="6">
        <f>IF(S34&lt;&gt;"Ready","",ROUND(J34*U34,2))</f>
        <v/>
      </c>
      <c r="W34" s="6">
        <f>IF(S34&lt;&gt;"Ready","",V34-T34)</f>
        <v/>
      </c>
      <c r="X34" s="3">
        <f>IF(S34&lt;&gt;"Ready","",IF(V34=0,0,W34/V34))</f>
        <v/>
      </c>
      <c r="Y34" s="6">
        <f>IF(S34&lt;&gt;"Ready","",IF(P34="Yes",ROUND(V34*Project!$B$11,2),0))</f>
        <v/>
      </c>
    </row>
    <row r="35">
      <c r="A35" s="2" t="n"/>
      <c r="B35" s="2" t="n"/>
      <c r="C35" s="2" t="n"/>
      <c r="D35" s="2" t="n"/>
      <c r="E35" s="2" t="n"/>
      <c r="F35" s="5" t="n"/>
      <c r="G35" s="2" t="n"/>
      <c r="H35" s="2" t="n"/>
      <c r="I35" s="5" t="n"/>
      <c r="J35" s="2" t="n"/>
      <c r="K35" s="2" t="n"/>
      <c r="L35" s="6" t="n"/>
      <c r="M35" s="2" t="n"/>
      <c r="N35" s="2" t="n"/>
      <c r="O35" s="3" t="n"/>
      <c r="P35" s="2" t="n"/>
      <c r="Q35" s="2" t="n"/>
      <c r="R35" s="2" t="n"/>
      <c r="S35" s="2">
        <f>IF(A35="","",IF(OR(C35="",G35="",J35="",K35="",L35="",M35="",N35="",O35="",P35="",Project!$B$10="",Project!$B$11=""),"Incomplete","Ready"))</f>
        <v/>
      </c>
      <c r="T35" s="6">
        <f>IF(S35&lt;&gt;"Ready","",ROUND(J35*L35*N35,2))</f>
        <v/>
      </c>
      <c r="U35" s="6">
        <f>IF(S35&lt;&gt;"Ready","",ROUND(L35*N35*(1+O35),2))</f>
        <v/>
      </c>
      <c r="V35" s="6">
        <f>IF(S35&lt;&gt;"Ready","",ROUND(J35*U35,2))</f>
        <v/>
      </c>
      <c r="W35" s="6">
        <f>IF(S35&lt;&gt;"Ready","",V35-T35)</f>
        <v/>
      </c>
      <c r="X35" s="3">
        <f>IF(S35&lt;&gt;"Ready","",IF(V35=0,0,W35/V35))</f>
        <v/>
      </c>
      <c r="Y35" s="6">
        <f>IF(S35&lt;&gt;"Ready","",IF(P35="Yes",ROUND(V35*Project!$B$11,2),0))</f>
        <v/>
      </c>
    </row>
    <row r="36">
      <c r="A36" s="2" t="n"/>
      <c r="B36" s="2" t="n"/>
      <c r="C36" s="2" t="n"/>
      <c r="D36" s="2" t="n"/>
      <c r="E36" s="2" t="n"/>
      <c r="F36" s="5" t="n"/>
      <c r="G36" s="2" t="n"/>
      <c r="H36" s="2" t="n"/>
      <c r="I36" s="5" t="n"/>
      <c r="J36" s="2" t="n"/>
      <c r="K36" s="2" t="n"/>
      <c r="L36" s="6" t="n"/>
      <c r="M36" s="2" t="n"/>
      <c r="N36" s="2" t="n"/>
      <c r="O36" s="3" t="n"/>
      <c r="P36" s="2" t="n"/>
      <c r="Q36" s="2" t="n"/>
      <c r="R36" s="2" t="n"/>
      <c r="S36" s="2">
        <f>IF(A36="","",IF(OR(C36="",G36="",J36="",K36="",L36="",M36="",N36="",O36="",P36="",Project!$B$10="",Project!$B$11=""),"Incomplete","Ready"))</f>
        <v/>
      </c>
      <c r="T36" s="6">
        <f>IF(S36&lt;&gt;"Ready","",ROUND(J36*L36*N36,2))</f>
        <v/>
      </c>
      <c r="U36" s="6">
        <f>IF(S36&lt;&gt;"Ready","",ROUND(L36*N36*(1+O36),2))</f>
        <v/>
      </c>
      <c r="V36" s="6">
        <f>IF(S36&lt;&gt;"Ready","",ROUND(J36*U36,2))</f>
        <v/>
      </c>
      <c r="W36" s="6">
        <f>IF(S36&lt;&gt;"Ready","",V36-T36)</f>
        <v/>
      </c>
      <c r="X36" s="3">
        <f>IF(S36&lt;&gt;"Ready","",IF(V36=0,0,W36/V36))</f>
        <v/>
      </c>
      <c r="Y36" s="6">
        <f>IF(S36&lt;&gt;"Ready","",IF(P36="Yes",ROUND(V36*Project!$B$11,2),0))</f>
        <v/>
      </c>
    </row>
    <row r="37">
      <c r="A37" s="2" t="n"/>
      <c r="B37" s="2" t="n"/>
      <c r="C37" s="2" t="n"/>
      <c r="D37" s="2" t="n"/>
      <c r="E37" s="2" t="n"/>
      <c r="F37" s="5" t="n"/>
      <c r="G37" s="2" t="n"/>
      <c r="H37" s="2" t="n"/>
      <c r="I37" s="5" t="n"/>
      <c r="J37" s="2" t="n"/>
      <c r="K37" s="2" t="n"/>
      <c r="L37" s="6" t="n"/>
      <c r="M37" s="2" t="n"/>
      <c r="N37" s="2" t="n"/>
      <c r="O37" s="3" t="n"/>
      <c r="P37" s="2" t="n"/>
      <c r="Q37" s="2" t="n"/>
      <c r="R37" s="2" t="n"/>
      <c r="S37" s="2">
        <f>IF(A37="","",IF(OR(C37="",G37="",J37="",K37="",L37="",M37="",N37="",O37="",P37="",Project!$B$10="",Project!$B$11=""),"Incomplete","Ready"))</f>
        <v/>
      </c>
      <c r="T37" s="6">
        <f>IF(S37&lt;&gt;"Ready","",ROUND(J37*L37*N37,2))</f>
        <v/>
      </c>
      <c r="U37" s="6">
        <f>IF(S37&lt;&gt;"Ready","",ROUND(L37*N37*(1+O37),2))</f>
        <v/>
      </c>
      <c r="V37" s="6">
        <f>IF(S37&lt;&gt;"Ready","",ROUND(J37*U37,2))</f>
        <v/>
      </c>
      <c r="W37" s="6">
        <f>IF(S37&lt;&gt;"Ready","",V37-T37)</f>
        <v/>
      </c>
      <c r="X37" s="3">
        <f>IF(S37&lt;&gt;"Ready","",IF(V37=0,0,W37/V37))</f>
        <v/>
      </c>
      <c r="Y37" s="6">
        <f>IF(S37&lt;&gt;"Ready","",IF(P37="Yes",ROUND(V37*Project!$B$11,2),0))</f>
        <v/>
      </c>
    </row>
    <row r="38">
      <c r="A38" s="2" t="n"/>
      <c r="B38" s="2" t="n"/>
      <c r="C38" s="2" t="n"/>
      <c r="D38" s="2" t="n"/>
      <c r="E38" s="2" t="n"/>
      <c r="F38" s="5" t="n"/>
      <c r="G38" s="2" t="n"/>
      <c r="H38" s="2" t="n"/>
      <c r="I38" s="5" t="n"/>
      <c r="J38" s="2" t="n"/>
      <c r="K38" s="2" t="n"/>
      <c r="L38" s="6" t="n"/>
      <c r="M38" s="2" t="n"/>
      <c r="N38" s="2" t="n"/>
      <c r="O38" s="3" t="n"/>
      <c r="P38" s="2" t="n"/>
      <c r="Q38" s="2" t="n"/>
      <c r="R38" s="2" t="n"/>
      <c r="S38" s="2">
        <f>IF(A38="","",IF(OR(C38="",G38="",J38="",K38="",L38="",M38="",N38="",O38="",P38="",Project!$B$10="",Project!$B$11=""),"Incomplete","Ready"))</f>
        <v/>
      </c>
      <c r="T38" s="6">
        <f>IF(S38&lt;&gt;"Ready","",ROUND(J38*L38*N38,2))</f>
        <v/>
      </c>
      <c r="U38" s="6">
        <f>IF(S38&lt;&gt;"Ready","",ROUND(L38*N38*(1+O38),2))</f>
        <v/>
      </c>
      <c r="V38" s="6">
        <f>IF(S38&lt;&gt;"Ready","",ROUND(J38*U38,2))</f>
        <v/>
      </c>
      <c r="W38" s="6">
        <f>IF(S38&lt;&gt;"Ready","",V38-T38)</f>
        <v/>
      </c>
      <c r="X38" s="3">
        <f>IF(S38&lt;&gt;"Ready","",IF(V38=0,0,W38/V38))</f>
        <v/>
      </c>
      <c r="Y38" s="6">
        <f>IF(S38&lt;&gt;"Ready","",IF(P38="Yes",ROUND(V38*Project!$B$11,2),0))</f>
        <v/>
      </c>
    </row>
    <row r="39">
      <c r="A39" s="2" t="n"/>
      <c r="B39" s="2" t="n"/>
      <c r="C39" s="2" t="n"/>
      <c r="D39" s="2" t="n"/>
      <c r="E39" s="2" t="n"/>
      <c r="F39" s="5" t="n"/>
      <c r="G39" s="2" t="n"/>
      <c r="H39" s="2" t="n"/>
      <c r="I39" s="5" t="n"/>
      <c r="J39" s="2" t="n"/>
      <c r="K39" s="2" t="n"/>
      <c r="L39" s="6" t="n"/>
      <c r="M39" s="2" t="n"/>
      <c r="N39" s="2" t="n"/>
      <c r="O39" s="3" t="n"/>
      <c r="P39" s="2" t="n"/>
      <c r="Q39" s="2" t="n"/>
      <c r="R39" s="2" t="n"/>
      <c r="S39" s="2">
        <f>IF(A39="","",IF(OR(C39="",G39="",J39="",K39="",L39="",M39="",N39="",O39="",P39="",Project!$B$10="",Project!$B$11=""),"Incomplete","Ready"))</f>
        <v/>
      </c>
      <c r="T39" s="6">
        <f>IF(S39&lt;&gt;"Ready","",ROUND(J39*L39*N39,2))</f>
        <v/>
      </c>
      <c r="U39" s="6">
        <f>IF(S39&lt;&gt;"Ready","",ROUND(L39*N39*(1+O39),2))</f>
        <v/>
      </c>
      <c r="V39" s="6">
        <f>IF(S39&lt;&gt;"Ready","",ROUND(J39*U39,2))</f>
        <v/>
      </c>
      <c r="W39" s="6">
        <f>IF(S39&lt;&gt;"Ready","",V39-T39)</f>
        <v/>
      </c>
      <c r="X39" s="3">
        <f>IF(S39&lt;&gt;"Ready","",IF(V39=0,0,W39/V39))</f>
        <v/>
      </c>
      <c r="Y39" s="6">
        <f>IF(S39&lt;&gt;"Ready","",IF(P39="Yes",ROUND(V39*Project!$B$11,2),0))</f>
        <v/>
      </c>
    </row>
    <row r="40">
      <c r="A40" s="2" t="n"/>
      <c r="B40" s="2" t="n"/>
      <c r="C40" s="2" t="n"/>
      <c r="D40" s="2" t="n"/>
      <c r="E40" s="2" t="n"/>
      <c r="F40" s="5" t="n"/>
      <c r="G40" s="2" t="n"/>
      <c r="H40" s="2" t="n"/>
      <c r="I40" s="5" t="n"/>
      <c r="J40" s="2" t="n"/>
      <c r="K40" s="2" t="n"/>
      <c r="L40" s="6" t="n"/>
      <c r="M40" s="2" t="n"/>
      <c r="N40" s="2" t="n"/>
      <c r="O40" s="3" t="n"/>
      <c r="P40" s="2" t="n"/>
      <c r="Q40" s="2" t="n"/>
      <c r="R40" s="2" t="n"/>
      <c r="S40" s="2">
        <f>IF(A40="","",IF(OR(C40="",G40="",J40="",K40="",L40="",M40="",N40="",O40="",P40="",Project!$B$10="",Project!$B$11=""),"Incomplete","Ready"))</f>
        <v/>
      </c>
      <c r="T40" s="6">
        <f>IF(S40&lt;&gt;"Ready","",ROUND(J40*L40*N40,2))</f>
        <v/>
      </c>
      <c r="U40" s="6">
        <f>IF(S40&lt;&gt;"Ready","",ROUND(L40*N40*(1+O40),2))</f>
        <v/>
      </c>
      <c r="V40" s="6">
        <f>IF(S40&lt;&gt;"Ready","",ROUND(J40*U40,2))</f>
        <v/>
      </c>
      <c r="W40" s="6">
        <f>IF(S40&lt;&gt;"Ready","",V40-T40)</f>
        <v/>
      </c>
      <c r="X40" s="3">
        <f>IF(S40&lt;&gt;"Ready","",IF(V40=0,0,W40/V40))</f>
        <v/>
      </c>
      <c r="Y40" s="6">
        <f>IF(S40&lt;&gt;"Ready","",IF(P40="Yes",ROUND(V40*Project!$B$11,2),0))</f>
        <v/>
      </c>
    </row>
    <row r="41">
      <c r="A41" s="2" t="n"/>
      <c r="B41" s="2" t="n"/>
      <c r="C41" s="2" t="n"/>
      <c r="D41" s="2" t="n"/>
      <c r="E41" s="2" t="n"/>
      <c r="F41" s="5" t="n"/>
      <c r="G41" s="2" t="n"/>
      <c r="H41" s="2" t="n"/>
      <c r="I41" s="5" t="n"/>
      <c r="J41" s="2" t="n"/>
      <c r="K41" s="2" t="n"/>
      <c r="L41" s="6" t="n"/>
      <c r="M41" s="2" t="n"/>
      <c r="N41" s="2" t="n"/>
      <c r="O41" s="3" t="n"/>
      <c r="P41" s="2" t="n"/>
      <c r="Q41" s="2" t="n"/>
      <c r="R41" s="2" t="n"/>
      <c r="S41" s="2">
        <f>IF(A41="","",IF(OR(C41="",G41="",J41="",K41="",L41="",M41="",N41="",O41="",P41="",Project!$B$10="",Project!$B$11=""),"Incomplete","Ready"))</f>
        <v/>
      </c>
      <c r="T41" s="6">
        <f>IF(S41&lt;&gt;"Ready","",ROUND(J41*L41*N41,2))</f>
        <v/>
      </c>
      <c r="U41" s="6">
        <f>IF(S41&lt;&gt;"Ready","",ROUND(L41*N41*(1+O41),2))</f>
        <v/>
      </c>
      <c r="V41" s="6">
        <f>IF(S41&lt;&gt;"Ready","",ROUND(J41*U41,2))</f>
        <v/>
      </c>
      <c r="W41" s="6">
        <f>IF(S41&lt;&gt;"Ready","",V41-T41)</f>
        <v/>
      </c>
      <c r="X41" s="3">
        <f>IF(S41&lt;&gt;"Ready","",IF(V41=0,0,W41/V41))</f>
        <v/>
      </c>
      <c r="Y41" s="6">
        <f>IF(S41&lt;&gt;"Ready","",IF(P41="Yes",ROUND(V41*Project!$B$11,2),0))</f>
        <v/>
      </c>
    </row>
    <row r="42">
      <c r="A42" s="2" t="n"/>
      <c r="B42" s="2" t="n"/>
      <c r="C42" s="2" t="n"/>
      <c r="D42" s="2" t="n"/>
      <c r="E42" s="2" t="n"/>
      <c r="F42" s="5" t="n"/>
      <c r="G42" s="2" t="n"/>
      <c r="H42" s="2" t="n"/>
      <c r="I42" s="5" t="n"/>
      <c r="J42" s="2" t="n"/>
      <c r="K42" s="2" t="n"/>
      <c r="L42" s="6" t="n"/>
      <c r="M42" s="2" t="n"/>
      <c r="N42" s="2" t="n"/>
      <c r="O42" s="3" t="n"/>
      <c r="P42" s="2" t="n"/>
      <c r="Q42" s="2" t="n"/>
      <c r="R42" s="2" t="n"/>
      <c r="S42" s="2">
        <f>IF(A42="","",IF(OR(C42="",G42="",J42="",K42="",L42="",M42="",N42="",O42="",P42="",Project!$B$10="",Project!$B$11=""),"Incomplete","Ready"))</f>
        <v/>
      </c>
      <c r="T42" s="6">
        <f>IF(S42&lt;&gt;"Ready","",ROUND(J42*L42*N42,2))</f>
        <v/>
      </c>
      <c r="U42" s="6">
        <f>IF(S42&lt;&gt;"Ready","",ROUND(L42*N42*(1+O42),2))</f>
        <v/>
      </c>
      <c r="V42" s="6">
        <f>IF(S42&lt;&gt;"Ready","",ROUND(J42*U42,2))</f>
        <v/>
      </c>
      <c r="W42" s="6">
        <f>IF(S42&lt;&gt;"Ready","",V42-T42)</f>
        <v/>
      </c>
      <c r="X42" s="3">
        <f>IF(S42&lt;&gt;"Ready","",IF(V42=0,0,W42/V42))</f>
        <v/>
      </c>
      <c r="Y42" s="6">
        <f>IF(S42&lt;&gt;"Ready","",IF(P42="Yes",ROUND(V42*Project!$B$11,2),0))</f>
        <v/>
      </c>
    </row>
    <row r="43">
      <c r="A43" s="2" t="n"/>
      <c r="B43" s="2" t="n"/>
      <c r="C43" s="2" t="n"/>
      <c r="D43" s="2" t="n"/>
      <c r="E43" s="2" t="n"/>
      <c r="F43" s="5" t="n"/>
      <c r="G43" s="2" t="n"/>
      <c r="H43" s="2" t="n"/>
      <c r="I43" s="5" t="n"/>
      <c r="J43" s="2" t="n"/>
      <c r="K43" s="2" t="n"/>
      <c r="L43" s="6" t="n"/>
      <c r="M43" s="2" t="n"/>
      <c r="N43" s="2" t="n"/>
      <c r="O43" s="3" t="n"/>
      <c r="P43" s="2" t="n"/>
      <c r="Q43" s="2" t="n"/>
      <c r="R43" s="2" t="n"/>
      <c r="S43" s="2">
        <f>IF(A43="","",IF(OR(C43="",G43="",J43="",K43="",L43="",M43="",N43="",O43="",P43="",Project!$B$10="",Project!$B$11=""),"Incomplete","Ready"))</f>
        <v/>
      </c>
      <c r="T43" s="6">
        <f>IF(S43&lt;&gt;"Ready","",ROUND(J43*L43*N43,2))</f>
        <v/>
      </c>
      <c r="U43" s="6">
        <f>IF(S43&lt;&gt;"Ready","",ROUND(L43*N43*(1+O43),2))</f>
        <v/>
      </c>
      <c r="V43" s="6">
        <f>IF(S43&lt;&gt;"Ready","",ROUND(J43*U43,2))</f>
        <v/>
      </c>
      <c r="W43" s="6">
        <f>IF(S43&lt;&gt;"Ready","",V43-T43)</f>
        <v/>
      </c>
      <c r="X43" s="3">
        <f>IF(S43&lt;&gt;"Ready","",IF(V43=0,0,W43/V43))</f>
        <v/>
      </c>
      <c r="Y43" s="6">
        <f>IF(S43&lt;&gt;"Ready","",IF(P43="Yes",ROUND(V43*Project!$B$11,2),0))</f>
        <v/>
      </c>
    </row>
    <row r="44">
      <c r="A44" s="2" t="n"/>
      <c r="B44" s="2" t="n"/>
      <c r="C44" s="2" t="n"/>
      <c r="D44" s="2" t="n"/>
      <c r="E44" s="2" t="n"/>
      <c r="F44" s="5" t="n"/>
      <c r="G44" s="2" t="n"/>
      <c r="H44" s="2" t="n"/>
      <c r="I44" s="5" t="n"/>
      <c r="J44" s="2" t="n"/>
      <c r="K44" s="2" t="n"/>
      <c r="L44" s="6" t="n"/>
      <c r="M44" s="2" t="n"/>
      <c r="N44" s="2" t="n"/>
      <c r="O44" s="3" t="n"/>
      <c r="P44" s="2" t="n"/>
      <c r="Q44" s="2" t="n"/>
      <c r="R44" s="2" t="n"/>
      <c r="S44" s="2">
        <f>IF(A44="","",IF(OR(C44="",G44="",J44="",K44="",L44="",M44="",N44="",O44="",P44="",Project!$B$10="",Project!$B$11=""),"Incomplete","Ready"))</f>
        <v/>
      </c>
      <c r="T44" s="6">
        <f>IF(S44&lt;&gt;"Ready","",ROUND(J44*L44*N44,2))</f>
        <v/>
      </c>
      <c r="U44" s="6">
        <f>IF(S44&lt;&gt;"Ready","",ROUND(L44*N44*(1+O44),2))</f>
        <v/>
      </c>
      <c r="V44" s="6">
        <f>IF(S44&lt;&gt;"Ready","",ROUND(J44*U44,2))</f>
        <v/>
      </c>
      <c r="W44" s="6">
        <f>IF(S44&lt;&gt;"Ready","",V44-T44)</f>
        <v/>
      </c>
      <c r="X44" s="3">
        <f>IF(S44&lt;&gt;"Ready","",IF(V44=0,0,W44/V44))</f>
        <v/>
      </c>
      <c r="Y44" s="6">
        <f>IF(S44&lt;&gt;"Ready","",IF(P44="Yes",ROUND(V44*Project!$B$11,2),0))</f>
        <v/>
      </c>
    </row>
    <row r="45">
      <c r="A45" s="2" t="n"/>
      <c r="B45" s="2" t="n"/>
      <c r="C45" s="2" t="n"/>
      <c r="D45" s="2" t="n"/>
      <c r="E45" s="2" t="n"/>
      <c r="F45" s="5" t="n"/>
      <c r="G45" s="2" t="n"/>
      <c r="H45" s="2" t="n"/>
      <c r="I45" s="5" t="n"/>
      <c r="J45" s="2" t="n"/>
      <c r="K45" s="2" t="n"/>
      <c r="L45" s="6" t="n"/>
      <c r="M45" s="2" t="n"/>
      <c r="N45" s="2" t="n"/>
      <c r="O45" s="3" t="n"/>
      <c r="P45" s="2" t="n"/>
      <c r="Q45" s="2" t="n"/>
      <c r="R45" s="2" t="n"/>
      <c r="S45" s="2">
        <f>IF(A45="","",IF(OR(C45="",G45="",J45="",K45="",L45="",M45="",N45="",O45="",P45="",Project!$B$10="",Project!$B$11=""),"Incomplete","Ready"))</f>
        <v/>
      </c>
      <c r="T45" s="6">
        <f>IF(S45&lt;&gt;"Ready","",ROUND(J45*L45*N45,2))</f>
        <v/>
      </c>
      <c r="U45" s="6">
        <f>IF(S45&lt;&gt;"Ready","",ROUND(L45*N45*(1+O45),2))</f>
        <v/>
      </c>
      <c r="V45" s="6">
        <f>IF(S45&lt;&gt;"Ready","",ROUND(J45*U45,2))</f>
        <v/>
      </c>
      <c r="W45" s="6">
        <f>IF(S45&lt;&gt;"Ready","",V45-T45)</f>
        <v/>
      </c>
      <c r="X45" s="3">
        <f>IF(S45&lt;&gt;"Ready","",IF(V45=0,0,W45/V45))</f>
        <v/>
      </c>
      <c r="Y45" s="6">
        <f>IF(S45&lt;&gt;"Ready","",IF(P45="Yes",ROUND(V45*Project!$B$11,2),0))</f>
        <v/>
      </c>
    </row>
    <row r="46">
      <c r="A46" s="2" t="n"/>
      <c r="B46" s="2" t="n"/>
      <c r="C46" s="2" t="n"/>
      <c r="D46" s="2" t="n"/>
      <c r="E46" s="2" t="n"/>
      <c r="F46" s="5" t="n"/>
      <c r="G46" s="2" t="n"/>
      <c r="H46" s="2" t="n"/>
      <c r="I46" s="5" t="n"/>
      <c r="J46" s="2" t="n"/>
      <c r="K46" s="2" t="n"/>
      <c r="L46" s="6" t="n"/>
      <c r="M46" s="2" t="n"/>
      <c r="N46" s="2" t="n"/>
      <c r="O46" s="3" t="n"/>
      <c r="P46" s="2" t="n"/>
      <c r="Q46" s="2" t="n"/>
      <c r="R46" s="2" t="n"/>
      <c r="S46" s="2">
        <f>IF(A46="","",IF(OR(C46="",G46="",J46="",K46="",L46="",M46="",N46="",O46="",P46="",Project!$B$10="",Project!$B$11=""),"Incomplete","Ready"))</f>
        <v/>
      </c>
      <c r="T46" s="6">
        <f>IF(S46&lt;&gt;"Ready","",ROUND(J46*L46*N46,2))</f>
        <v/>
      </c>
      <c r="U46" s="6">
        <f>IF(S46&lt;&gt;"Ready","",ROUND(L46*N46*(1+O46),2))</f>
        <v/>
      </c>
      <c r="V46" s="6">
        <f>IF(S46&lt;&gt;"Ready","",ROUND(J46*U46,2))</f>
        <v/>
      </c>
      <c r="W46" s="6">
        <f>IF(S46&lt;&gt;"Ready","",V46-T46)</f>
        <v/>
      </c>
      <c r="X46" s="3">
        <f>IF(S46&lt;&gt;"Ready","",IF(V46=0,0,W46/V46))</f>
        <v/>
      </c>
      <c r="Y46" s="6">
        <f>IF(S46&lt;&gt;"Ready","",IF(P46="Yes",ROUND(V46*Project!$B$11,2),0))</f>
        <v/>
      </c>
    </row>
    <row r="47">
      <c r="A47" s="2" t="n"/>
      <c r="B47" s="2" t="n"/>
      <c r="C47" s="2" t="n"/>
      <c r="D47" s="2" t="n"/>
      <c r="E47" s="2" t="n"/>
      <c r="F47" s="5" t="n"/>
      <c r="G47" s="2" t="n"/>
      <c r="H47" s="2" t="n"/>
      <c r="I47" s="5" t="n"/>
      <c r="J47" s="2" t="n"/>
      <c r="K47" s="2" t="n"/>
      <c r="L47" s="6" t="n"/>
      <c r="M47" s="2" t="n"/>
      <c r="N47" s="2" t="n"/>
      <c r="O47" s="3" t="n"/>
      <c r="P47" s="2" t="n"/>
      <c r="Q47" s="2" t="n"/>
      <c r="R47" s="2" t="n"/>
      <c r="S47" s="2">
        <f>IF(A47="","",IF(OR(C47="",G47="",J47="",K47="",L47="",M47="",N47="",O47="",P47="",Project!$B$10="",Project!$B$11=""),"Incomplete","Ready"))</f>
        <v/>
      </c>
      <c r="T47" s="6">
        <f>IF(S47&lt;&gt;"Ready","",ROUND(J47*L47*N47,2))</f>
        <v/>
      </c>
      <c r="U47" s="6">
        <f>IF(S47&lt;&gt;"Ready","",ROUND(L47*N47*(1+O47),2))</f>
        <v/>
      </c>
      <c r="V47" s="6">
        <f>IF(S47&lt;&gt;"Ready","",ROUND(J47*U47,2))</f>
        <v/>
      </c>
      <c r="W47" s="6">
        <f>IF(S47&lt;&gt;"Ready","",V47-T47)</f>
        <v/>
      </c>
      <c r="X47" s="3">
        <f>IF(S47&lt;&gt;"Ready","",IF(V47=0,0,W47/V47))</f>
        <v/>
      </c>
      <c r="Y47" s="6">
        <f>IF(S47&lt;&gt;"Ready","",IF(P47="Yes",ROUND(V47*Project!$B$11,2),0))</f>
        <v/>
      </c>
    </row>
    <row r="48">
      <c r="A48" s="2" t="n"/>
      <c r="B48" s="2" t="n"/>
      <c r="C48" s="2" t="n"/>
      <c r="D48" s="2" t="n"/>
      <c r="E48" s="2" t="n"/>
      <c r="F48" s="5" t="n"/>
      <c r="G48" s="2" t="n"/>
      <c r="H48" s="2" t="n"/>
      <c r="I48" s="5" t="n"/>
      <c r="J48" s="2" t="n"/>
      <c r="K48" s="2" t="n"/>
      <c r="L48" s="6" t="n"/>
      <c r="M48" s="2" t="n"/>
      <c r="N48" s="2" t="n"/>
      <c r="O48" s="3" t="n"/>
      <c r="P48" s="2" t="n"/>
      <c r="Q48" s="2" t="n"/>
      <c r="R48" s="2" t="n"/>
      <c r="S48" s="2">
        <f>IF(A48="","",IF(OR(C48="",G48="",J48="",K48="",L48="",M48="",N48="",O48="",P48="",Project!$B$10="",Project!$B$11=""),"Incomplete","Ready"))</f>
        <v/>
      </c>
      <c r="T48" s="6">
        <f>IF(S48&lt;&gt;"Ready","",ROUND(J48*L48*N48,2))</f>
        <v/>
      </c>
      <c r="U48" s="6">
        <f>IF(S48&lt;&gt;"Ready","",ROUND(L48*N48*(1+O48),2))</f>
        <v/>
      </c>
      <c r="V48" s="6">
        <f>IF(S48&lt;&gt;"Ready","",ROUND(J48*U48,2))</f>
        <v/>
      </c>
      <c r="W48" s="6">
        <f>IF(S48&lt;&gt;"Ready","",V48-T48)</f>
        <v/>
      </c>
      <c r="X48" s="3">
        <f>IF(S48&lt;&gt;"Ready","",IF(V48=0,0,W48/V48))</f>
        <v/>
      </c>
      <c r="Y48" s="6">
        <f>IF(S48&lt;&gt;"Ready","",IF(P48="Yes",ROUND(V48*Project!$B$11,2),0))</f>
        <v/>
      </c>
    </row>
    <row r="49">
      <c r="A49" s="2" t="n"/>
      <c r="B49" s="2" t="n"/>
      <c r="C49" s="2" t="n"/>
      <c r="D49" s="2" t="n"/>
      <c r="E49" s="2" t="n"/>
      <c r="F49" s="5" t="n"/>
      <c r="G49" s="2" t="n"/>
      <c r="H49" s="2" t="n"/>
      <c r="I49" s="5" t="n"/>
      <c r="J49" s="2" t="n"/>
      <c r="K49" s="2" t="n"/>
      <c r="L49" s="6" t="n"/>
      <c r="M49" s="2" t="n"/>
      <c r="N49" s="2" t="n"/>
      <c r="O49" s="3" t="n"/>
      <c r="P49" s="2" t="n"/>
      <c r="Q49" s="2" t="n"/>
      <c r="R49" s="2" t="n"/>
      <c r="S49" s="2">
        <f>IF(A49="","",IF(OR(C49="",G49="",J49="",K49="",L49="",M49="",N49="",O49="",P49="",Project!$B$10="",Project!$B$11=""),"Incomplete","Ready"))</f>
        <v/>
      </c>
      <c r="T49" s="6">
        <f>IF(S49&lt;&gt;"Ready","",ROUND(J49*L49*N49,2))</f>
        <v/>
      </c>
      <c r="U49" s="6">
        <f>IF(S49&lt;&gt;"Ready","",ROUND(L49*N49*(1+O49),2))</f>
        <v/>
      </c>
      <c r="V49" s="6">
        <f>IF(S49&lt;&gt;"Ready","",ROUND(J49*U49,2))</f>
        <v/>
      </c>
      <c r="W49" s="6">
        <f>IF(S49&lt;&gt;"Ready","",V49-T49)</f>
        <v/>
      </c>
      <c r="X49" s="3">
        <f>IF(S49&lt;&gt;"Ready","",IF(V49=0,0,W49/V49))</f>
        <v/>
      </c>
      <c r="Y49" s="6">
        <f>IF(S49&lt;&gt;"Ready","",IF(P49="Yes",ROUND(V49*Project!$B$11,2),0))</f>
        <v/>
      </c>
    </row>
    <row r="50">
      <c r="A50" s="2" t="n"/>
      <c r="B50" s="2" t="n"/>
      <c r="C50" s="2" t="n"/>
      <c r="D50" s="2" t="n"/>
      <c r="E50" s="2" t="n"/>
      <c r="F50" s="5" t="n"/>
      <c r="G50" s="2" t="n"/>
      <c r="H50" s="2" t="n"/>
      <c r="I50" s="5" t="n"/>
      <c r="J50" s="2" t="n"/>
      <c r="K50" s="2" t="n"/>
      <c r="L50" s="6" t="n"/>
      <c r="M50" s="2" t="n"/>
      <c r="N50" s="2" t="n"/>
      <c r="O50" s="3" t="n"/>
      <c r="P50" s="2" t="n"/>
      <c r="Q50" s="2" t="n"/>
      <c r="R50" s="2" t="n"/>
      <c r="S50" s="2">
        <f>IF(A50="","",IF(OR(C50="",G50="",J50="",K50="",L50="",M50="",N50="",O50="",P50="",Project!$B$10="",Project!$B$11=""),"Incomplete","Ready"))</f>
        <v/>
      </c>
      <c r="T50" s="6">
        <f>IF(S50&lt;&gt;"Ready","",ROUND(J50*L50*N50,2))</f>
        <v/>
      </c>
      <c r="U50" s="6">
        <f>IF(S50&lt;&gt;"Ready","",ROUND(L50*N50*(1+O50),2))</f>
        <v/>
      </c>
      <c r="V50" s="6">
        <f>IF(S50&lt;&gt;"Ready","",ROUND(J50*U50,2))</f>
        <v/>
      </c>
      <c r="W50" s="6">
        <f>IF(S50&lt;&gt;"Ready","",V50-T50)</f>
        <v/>
      </c>
      <c r="X50" s="3">
        <f>IF(S50&lt;&gt;"Ready","",IF(V50=0,0,W50/V50))</f>
        <v/>
      </c>
      <c r="Y50" s="6">
        <f>IF(S50&lt;&gt;"Ready","",IF(P50="Yes",ROUND(V50*Project!$B$11,2),0))</f>
        <v/>
      </c>
    </row>
    <row r="51">
      <c r="A51" s="2" t="n"/>
      <c r="B51" s="2" t="n"/>
      <c r="C51" s="2" t="n"/>
      <c r="D51" s="2" t="n"/>
      <c r="E51" s="2" t="n"/>
      <c r="F51" s="5" t="n"/>
      <c r="G51" s="2" t="n"/>
      <c r="H51" s="2" t="n"/>
      <c r="I51" s="5" t="n"/>
      <c r="J51" s="2" t="n"/>
      <c r="K51" s="2" t="n"/>
      <c r="L51" s="6" t="n"/>
      <c r="M51" s="2" t="n"/>
      <c r="N51" s="2" t="n"/>
      <c r="O51" s="3" t="n"/>
      <c r="P51" s="2" t="n"/>
      <c r="Q51" s="2" t="n"/>
      <c r="R51" s="2" t="n"/>
      <c r="S51" s="2">
        <f>IF(A51="","",IF(OR(C51="",G51="",J51="",K51="",L51="",M51="",N51="",O51="",P51="",Project!$B$10="",Project!$B$11=""),"Incomplete","Ready"))</f>
        <v/>
      </c>
      <c r="T51" s="6">
        <f>IF(S51&lt;&gt;"Ready","",ROUND(J51*L51*N51,2))</f>
        <v/>
      </c>
      <c r="U51" s="6">
        <f>IF(S51&lt;&gt;"Ready","",ROUND(L51*N51*(1+O51),2))</f>
        <v/>
      </c>
      <c r="V51" s="6">
        <f>IF(S51&lt;&gt;"Ready","",ROUND(J51*U51,2))</f>
        <v/>
      </c>
      <c r="W51" s="6">
        <f>IF(S51&lt;&gt;"Ready","",V51-T51)</f>
        <v/>
      </c>
      <c r="X51" s="3">
        <f>IF(S51&lt;&gt;"Ready","",IF(V51=0,0,W51/V51))</f>
        <v/>
      </c>
      <c r="Y51" s="6">
        <f>IF(S51&lt;&gt;"Ready","",IF(P51="Yes",ROUND(V51*Project!$B$11,2),0))</f>
        <v/>
      </c>
    </row>
    <row r="52">
      <c r="A52" s="2" t="n"/>
      <c r="B52" s="2" t="n"/>
      <c r="C52" s="2" t="n"/>
      <c r="D52" s="2" t="n"/>
      <c r="E52" s="2" t="n"/>
      <c r="F52" s="5" t="n"/>
      <c r="G52" s="2" t="n"/>
      <c r="H52" s="2" t="n"/>
      <c r="I52" s="5" t="n"/>
      <c r="J52" s="2" t="n"/>
      <c r="K52" s="2" t="n"/>
      <c r="L52" s="6" t="n"/>
      <c r="M52" s="2" t="n"/>
      <c r="N52" s="2" t="n"/>
      <c r="O52" s="3" t="n"/>
      <c r="P52" s="2" t="n"/>
      <c r="Q52" s="2" t="n"/>
      <c r="R52" s="2" t="n"/>
      <c r="S52" s="2">
        <f>IF(A52="","",IF(OR(C52="",G52="",J52="",K52="",L52="",M52="",N52="",O52="",P52="",Project!$B$10="",Project!$B$11=""),"Incomplete","Ready"))</f>
        <v/>
      </c>
      <c r="T52" s="6">
        <f>IF(S52&lt;&gt;"Ready","",ROUND(J52*L52*N52,2))</f>
        <v/>
      </c>
      <c r="U52" s="6">
        <f>IF(S52&lt;&gt;"Ready","",ROUND(L52*N52*(1+O52),2))</f>
        <v/>
      </c>
      <c r="V52" s="6">
        <f>IF(S52&lt;&gt;"Ready","",ROUND(J52*U52,2))</f>
        <v/>
      </c>
      <c r="W52" s="6">
        <f>IF(S52&lt;&gt;"Ready","",V52-T52)</f>
        <v/>
      </c>
      <c r="X52" s="3">
        <f>IF(S52&lt;&gt;"Ready","",IF(V52=0,0,W52/V52))</f>
        <v/>
      </c>
      <c r="Y52" s="6">
        <f>IF(S52&lt;&gt;"Ready","",IF(P52="Yes",ROUND(V52*Project!$B$11,2),0))</f>
        <v/>
      </c>
    </row>
    <row r="53">
      <c r="A53" s="2" t="n"/>
      <c r="B53" s="2" t="n"/>
      <c r="C53" s="2" t="n"/>
      <c r="D53" s="2" t="n"/>
      <c r="E53" s="2" t="n"/>
      <c r="F53" s="5" t="n"/>
      <c r="G53" s="2" t="n"/>
      <c r="H53" s="2" t="n"/>
      <c r="I53" s="5" t="n"/>
      <c r="J53" s="2" t="n"/>
      <c r="K53" s="2" t="n"/>
      <c r="L53" s="6" t="n"/>
      <c r="M53" s="2" t="n"/>
      <c r="N53" s="2" t="n"/>
      <c r="O53" s="3" t="n"/>
      <c r="P53" s="2" t="n"/>
      <c r="Q53" s="2" t="n"/>
      <c r="R53" s="2" t="n"/>
      <c r="S53" s="2">
        <f>IF(A53="","",IF(OR(C53="",G53="",J53="",K53="",L53="",M53="",N53="",O53="",P53="",Project!$B$10="",Project!$B$11=""),"Incomplete","Ready"))</f>
        <v/>
      </c>
      <c r="T53" s="6">
        <f>IF(S53&lt;&gt;"Ready","",ROUND(J53*L53*N53,2))</f>
        <v/>
      </c>
      <c r="U53" s="6">
        <f>IF(S53&lt;&gt;"Ready","",ROUND(L53*N53*(1+O53),2))</f>
        <v/>
      </c>
      <c r="V53" s="6">
        <f>IF(S53&lt;&gt;"Ready","",ROUND(J53*U53,2))</f>
        <v/>
      </c>
      <c r="W53" s="6">
        <f>IF(S53&lt;&gt;"Ready","",V53-T53)</f>
        <v/>
      </c>
      <c r="X53" s="3">
        <f>IF(S53&lt;&gt;"Ready","",IF(V53=0,0,W53/V53))</f>
        <v/>
      </c>
      <c r="Y53" s="6">
        <f>IF(S53&lt;&gt;"Ready","",IF(P53="Yes",ROUND(V53*Project!$B$11,2),0))</f>
        <v/>
      </c>
    </row>
    <row r="54">
      <c r="A54" s="2" t="n"/>
      <c r="B54" s="2" t="n"/>
      <c r="C54" s="2" t="n"/>
      <c r="D54" s="2" t="n"/>
      <c r="E54" s="2" t="n"/>
      <c r="F54" s="5" t="n"/>
      <c r="G54" s="2" t="n"/>
      <c r="H54" s="2" t="n"/>
      <c r="I54" s="5" t="n"/>
      <c r="J54" s="2" t="n"/>
      <c r="K54" s="2" t="n"/>
      <c r="L54" s="6" t="n"/>
      <c r="M54" s="2" t="n"/>
      <c r="N54" s="2" t="n"/>
      <c r="O54" s="3" t="n"/>
      <c r="P54" s="2" t="n"/>
      <c r="Q54" s="2" t="n"/>
      <c r="R54" s="2" t="n"/>
      <c r="S54" s="2">
        <f>IF(A54="","",IF(OR(C54="",G54="",J54="",K54="",L54="",M54="",N54="",O54="",P54="",Project!$B$10="",Project!$B$11=""),"Incomplete","Ready"))</f>
        <v/>
      </c>
      <c r="T54" s="6">
        <f>IF(S54&lt;&gt;"Ready","",ROUND(J54*L54*N54,2))</f>
        <v/>
      </c>
      <c r="U54" s="6">
        <f>IF(S54&lt;&gt;"Ready","",ROUND(L54*N54*(1+O54),2))</f>
        <v/>
      </c>
      <c r="V54" s="6">
        <f>IF(S54&lt;&gt;"Ready","",ROUND(J54*U54,2))</f>
        <v/>
      </c>
      <c r="W54" s="6">
        <f>IF(S54&lt;&gt;"Ready","",V54-T54)</f>
        <v/>
      </c>
      <c r="X54" s="3">
        <f>IF(S54&lt;&gt;"Ready","",IF(V54=0,0,W54/V54))</f>
        <v/>
      </c>
      <c r="Y54" s="6">
        <f>IF(S54&lt;&gt;"Ready","",IF(P54="Yes",ROUND(V54*Project!$B$11,2),0))</f>
        <v/>
      </c>
    </row>
    <row r="55">
      <c r="A55" s="2" t="n"/>
      <c r="B55" s="2" t="n"/>
      <c r="C55" s="2" t="n"/>
      <c r="D55" s="2" t="n"/>
      <c r="E55" s="2" t="n"/>
      <c r="F55" s="5" t="n"/>
      <c r="G55" s="2" t="n"/>
      <c r="H55" s="2" t="n"/>
      <c r="I55" s="5" t="n"/>
      <c r="J55" s="2" t="n"/>
      <c r="K55" s="2" t="n"/>
      <c r="L55" s="6" t="n"/>
      <c r="M55" s="2" t="n"/>
      <c r="N55" s="2" t="n"/>
      <c r="O55" s="3" t="n"/>
      <c r="P55" s="2" t="n"/>
      <c r="Q55" s="2" t="n"/>
      <c r="R55" s="2" t="n"/>
      <c r="S55" s="2">
        <f>IF(A55="","",IF(OR(C55="",G55="",J55="",K55="",L55="",M55="",N55="",O55="",P55="",Project!$B$10="",Project!$B$11=""),"Incomplete","Ready"))</f>
        <v/>
      </c>
      <c r="T55" s="6">
        <f>IF(S55&lt;&gt;"Ready","",ROUND(J55*L55*N55,2))</f>
        <v/>
      </c>
      <c r="U55" s="6">
        <f>IF(S55&lt;&gt;"Ready","",ROUND(L55*N55*(1+O55),2))</f>
        <v/>
      </c>
      <c r="V55" s="6">
        <f>IF(S55&lt;&gt;"Ready","",ROUND(J55*U55,2))</f>
        <v/>
      </c>
      <c r="W55" s="6">
        <f>IF(S55&lt;&gt;"Ready","",V55-T55)</f>
        <v/>
      </c>
      <c r="X55" s="3">
        <f>IF(S55&lt;&gt;"Ready","",IF(V55=0,0,W55/V55))</f>
        <v/>
      </c>
      <c r="Y55" s="6">
        <f>IF(S55&lt;&gt;"Ready","",IF(P55="Yes",ROUND(V55*Project!$B$11,2),0))</f>
        <v/>
      </c>
    </row>
    <row r="56">
      <c r="A56" s="2" t="n"/>
      <c r="B56" s="2" t="n"/>
      <c r="C56" s="2" t="n"/>
      <c r="D56" s="2" t="n"/>
      <c r="E56" s="2" t="n"/>
      <c r="F56" s="5" t="n"/>
      <c r="G56" s="2" t="n"/>
      <c r="H56" s="2" t="n"/>
      <c r="I56" s="5" t="n"/>
      <c r="J56" s="2" t="n"/>
      <c r="K56" s="2" t="n"/>
      <c r="L56" s="6" t="n"/>
      <c r="M56" s="2" t="n"/>
      <c r="N56" s="2" t="n"/>
      <c r="O56" s="3" t="n"/>
      <c r="P56" s="2" t="n"/>
      <c r="Q56" s="2" t="n"/>
      <c r="R56" s="2" t="n"/>
      <c r="S56" s="2">
        <f>IF(A56="","",IF(OR(C56="",G56="",J56="",K56="",L56="",M56="",N56="",O56="",P56="",Project!$B$10="",Project!$B$11=""),"Incomplete","Ready"))</f>
        <v/>
      </c>
      <c r="T56" s="6">
        <f>IF(S56&lt;&gt;"Ready","",ROUND(J56*L56*N56,2))</f>
        <v/>
      </c>
      <c r="U56" s="6">
        <f>IF(S56&lt;&gt;"Ready","",ROUND(L56*N56*(1+O56),2))</f>
        <v/>
      </c>
      <c r="V56" s="6">
        <f>IF(S56&lt;&gt;"Ready","",ROUND(J56*U56,2))</f>
        <v/>
      </c>
      <c r="W56" s="6">
        <f>IF(S56&lt;&gt;"Ready","",V56-T56)</f>
        <v/>
      </c>
      <c r="X56" s="3">
        <f>IF(S56&lt;&gt;"Ready","",IF(V56=0,0,W56/V56))</f>
        <v/>
      </c>
      <c r="Y56" s="6">
        <f>IF(S56&lt;&gt;"Ready","",IF(P56="Yes",ROUND(V56*Project!$B$11,2),0))</f>
        <v/>
      </c>
    </row>
    <row r="57">
      <c r="A57" s="2" t="n"/>
      <c r="B57" s="2" t="n"/>
      <c r="C57" s="2" t="n"/>
      <c r="D57" s="2" t="n"/>
      <c r="E57" s="2" t="n"/>
      <c r="F57" s="5" t="n"/>
      <c r="G57" s="2" t="n"/>
      <c r="H57" s="2" t="n"/>
      <c r="I57" s="5" t="n"/>
      <c r="J57" s="2" t="n"/>
      <c r="K57" s="2" t="n"/>
      <c r="L57" s="6" t="n"/>
      <c r="M57" s="2" t="n"/>
      <c r="N57" s="2" t="n"/>
      <c r="O57" s="3" t="n"/>
      <c r="P57" s="2" t="n"/>
      <c r="Q57" s="2" t="n"/>
      <c r="R57" s="2" t="n"/>
      <c r="S57" s="2">
        <f>IF(A57="","",IF(OR(C57="",G57="",J57="",K57="",L57="",M57="",N57="",O57="",P57="",Project!$B$10="",Project!$B$11=""),"Incomplete","Ready"))</f>
        <v/>
      </c>
      <c r="T57" s="6">
        <f>IF(S57&lt;&gt;"Ready","",ROUND(J57*L57*N57,2))</f>
        <v/>
      </c>
      <c r="U57" s="6">
        <f>IF(S57&lt;&gt;"Ready","",ROUND(L57*N57*(1+O57),2))</f>
        <v/>
      </c>
      <c r="V57" s="6">
        <f>IF(S57&lt;&gt;"Ready","",ROUND(J57*U57,2))</f>
        <v/>
      </c>
      <c r="W57" s="6">
        <f>IF(S57&lt;&gt;"Ready","",V57-T57)</f>
        <v/>
      </c>
      <c r="X57" s="3">
        <f>IF(S57&lt;&gt;"Ready","",IF(V57=0,0,W57/V57))</f>
        <v/>
      </c>
      <c r="Y57" s="6">
        <f>IF(S57&lt;&gt;"Ready","",IF(P57="Yes",ROUND(V57*Project!$B$11,2),0))</f>
        <v/>
      </c>
    </row>
    <row r="58">
      <c r="A58" s="2" t="n"/>
      <c r="B58" s="2" t="n"/>
      <c r="C58" s="2" t="n"/>
      <c r="D58" s="2" t="n"/>
      <c r="E58" s="2" t="n"/>
      <c r="F58" s="5" t="n"/>
      <c r="G58" s="2" t="n"/>
      <c r="H58" s="2" t="n"/>
      <c r="I58" s="5" t="n"/>
      <c r="J58" s="2" t="n"/>
      <c r="K58" s="2" t="n"/>
      <c r="L58" s="6" t="n"/>
      <c r="M58" s="2" t="n"/>
      <c r="N58" s="2" t="n"/>
      <c r="O58" s="3" t="n"/>
      <c r="P58" s="2" t="n"/>
      <c r="Q58" s="2" t="n"/>
      <c r="R58" s="2" t="n"/>
      <c r="S58" s="2">
        <f>IF(A58="","",IF(OR(C58="",G58="",J58="",K58="",L58="",M58="",N58="",O58="",P58="",Project!$B$10="",Project!$B$11=""),"Incomplete","Ready"))</f>
        <v/>
      </c>
      <c r="T58" s="6">
        <f>IF(S58&lt;&gt;"Ready","",ROUND(J58*L58*N58,2))</f>
        <v/>
      </c>
      <c r="U58" s="6">
        <f>IF(S58&lt;&gt;"Ready","",ROUND(L58*N58*(1+O58),2))</f>
        <v/>
      </c>
      <c r="V58" s="6">
        <f>IF(S58&lt;&gt;"Ready","",ROUND(J58*U58,2))</f>
        <v/>
      </c>
      <c r="W58" s="6">
        <f>IF(S58&lt;&gt;"Ready","",V58-T58)</f>
        <v/>
      </c>
      <c r="X58" s="3">
        <f>IF(S58&lt;&gt;"Ready","",IF(V58=0,0,W58/V58))</f>
        <v/>
      </c>
      <c r="Y58" s="6">
        <f>IF(S58&lt;&gt;"Ready","",IF(P58="Yes",ROUND(V58*Project!$B$11,2),0))</f>
        <v/>
      </c>
    </row>
    <row r="59">
      <c r="A59" s="2" t="n"/>
      <c r="B59" s="2" t="n"/>
      <c r="C59" s="2" t="n"/>
      <c r="D59" s="2" t="n"/>
      <c r="E59" s="2" t="n"/>
      <c r="F59" s="5" t="n"/>
      <c r="G59" s="2" t="n"/>
      <c r="H59" s="2" t="n"/>
      <c r="I59" s="5" t="n"/>
      <c r="J59" s="2" t="n"/>
      <c r="K59" s="2" t="n"/>
      <c r="L59" s="6" t="n"/>
      <c r="M59" s="2" t="n"/>
      <c r="N59" s="2" t="n"/>
      <c r="O59" s="3" t="n"/>
      <c r="P59" s="2" t="n"/>
      <c r="Q59" s="2" t="n"/>
      <c r="R59" s="2" t="n"/>
      <c r="S59" s="2">
        <f>IF(A59="","",IF(OR(C59="",G59="",J59="",K59="",L59="",M59="",N59="",O59="",P59="",Project!$B$10="",Project!$B$11=""),"Incomplete","Ready"))</f>
        <v/>
      </c>
      <c r="T59" s="6">
        <f>IF(S59&lt;&gt;"Ready","",ROUND(J59*L59*N59,2))</f>
        <v/>
      </c>
      <c r="U59" s="6">
        <f>IF(S59&lt;&gt;"Ready","",ROUND(L59*N59*(1+O59),2))</f>
        <v/>
      </c>
      <c r="V59" s="6">
        <f>IF(S59&lt;&gt;"Ready","",ROUND(J59*U59,2))</f>
        <v/>
      </c>
      <c r="W59" s="6">
        <f>IF(S59&lt;&gt;"Ready","",V59-T59)</f>
        <v/>
      </c>
      <c r="X59" s="3">
        <f>IF(S59&lt;&gt;"Ready","",IF(V59=0,0,W59/V59))</f>
        <v/>
      </c>
      <c r="Y59" s="6">
        <f>IF(S59&lt;&gt;"Ready","",IF(P59="Yes",ROUND(V59*Project!$B$11,2),0))</f>
        <v/>
      </c>
    </row>
    <row r="60">
      <c r="A60" s="2" t="n"/>
      <c r="B60" s="2" t="n"/>
      <c r="C60" s="2" t="n"/>
      <c r="D60" s="2" t="n"/>
      <c r="E60" s="2" t="n"/>
      <c r="F60" s="5" t="n"/>
      <c r="G60" s="2" t="n"/>
      <c r="H60" s="2" t="n"/>
      <c r="I60" s="5" t="n"/>
      <c r="J60" s="2" t="n"/>
      <c r="K60" s="2" t="n"/>
      <c r="L60" s="6" t="n"/>
      <c r="M60" s="2" t="n"/>
      <c r="N60" s="2" t="n"/>
      <c r="O60" s="3" t="n"/>
      <c r="P60" s="2" t="n"/>
      <c r="Q60" s="2" t="n"/>
      <c r="R60" s="2" t="n"/>
      <c r="S60" s="2">
        <f>IF(A60="","",IF(OR(C60="",G60="",J60="",K60="",L60="",M60="",N60="",O60="",P60="",Project!$B$10="",Project!$B$11=""),"Incomplete","Ready"))</f>
        <v/>
      </c>
      <c r="T60" s="6">
        <f>IF(S60&lt;&gt;"Ready","",ROUND(J60*L60*N60,2))</f>
        <v/>
      </c>
      <c r="U60" s="6">
        <f>IF(S60&lt;&gt;"Ready","",ROUND(L60*N60*(1+O60),2))</f>
        <v/>
      </c>
      <c r="V60" s="6">
        <f>IF(S60&lt;&gt;"Ready","",ROUND(J60*U60,2))</f>
        <v/>
      </c>
      <c r="W60" s="6">
        <f>IF(S60&lt;&gt;"Ready","",V60-T60)</f>
        <v/>
      </c>
      <c r="X60" s="3">
        <f>IF(S60&lt;&gt;"Ready","",IF(V60=0,0,W60/V60))</f>
        <v/>
      </c>
      <c r="Y60" s="6">
        <f>IF(S60&lt;&gt;"Ready","",IF(P60="Yes",ROUND(V60*Project!$B$11,2),0))</f>
        <v/>
      </c>
    </row>
    <row r="61">
      <c r="A61" s="2" t="n"/>
      <c r="B61" s="2" t="n"/>
      <c r="C61" s="2" t="n"/>
      <c r="D61" s="2" t="n"/>
      <c r="E61" s="2" t="n"/>
      <c r="F61" s="5" t="n"/>
      <c r="G61" s="2" t="n"/>
      <c r="H61" s="2" t="n"/>
      <c r="I61" s="5" t="n"/>
      <c r="J61" s="2" t="n"/>
      <c r="K61" s="2" t="n"/>
      <c r="L61" s="6" t="n"/>
      <c r="M61" s="2" t="n"/>
      <c r="N61" s="2" t="n"/>
      <c r="O61" s="3" t="n"/>
      <c r="P61" s="2" t="n"/>
      <c r="Q61" s="2" t="n"/>
      <c r="R61" s="2" t="n"/>
      <c r="S61" s="2">
        <f>IF(A61="","",IF(OR(C61="",G61="",J61="",K61="",L61="",M61="",N61="",O61="",P61="",Project!$B$10="",Project!$B$11=""),"Incomplete","Ready"))</f>
        <v/>
      </c>
      <c r="T61" s="6">
        <f>IF(S61&lt;&gt;"Ready","",ROUND(J61*L61*N61,2))</f>
        <v/>
      </c>
      <c r="U61" s="6">
        <f>IF(S61&lt;&gt;"Ready","",ROUND(L61*N61*(1+O61),2))</f>
        <v/>
      </c>
      <c r="V61" s="6">
        <f>IF(S61&lt;&gt;"Ready","",ROUND(J61*U61,2))</f>
        <v/>
      </c>
      <c r="W61" s="6">
        <f>IF(S61&lt;&gt;"Ready","",V61-T61)</f>
        <v/>
      </c>
      <c r="X61" s="3">
        <f>IF(S61&lt;&gt;"Ready","",IF(V61=0,0,W61/V61))</f>
        <v/>
      </c>
      <c r="Y61" s="6">
        <f>IF(S61&lt;&gt;"Ready","",IF(P61="Yes",ROUND(V61*Project!$B$11,2),0))</f>
        <v/>
      </c>
    </row>
    <row r="62">
      <c r="A62" s="2" t="n"/>
      <c r="B62" s="2" t="n"/>
      <c r="C62" s="2" t="n"/>
      <c r="D62" s="2" t="n"/>
      <c r="E62" s="2" t="n"/>
      <c r="F62" s="5" t="n"/>
      <c r="G62" s="2" t="n"/>
      <c r="H62" s="2" t="n"/>
      <c r="I62" s="5" t="n"/>
      <c r="J62" s="2" t="n"/>
      <c r="K62" s="2" t="n"/>
      <c r="L62" s="6" t="n"/>
      <c r="M62" s="2" t="n"/>
      <c r="N62" s="2" t="n"/>
      <c r="O62" s="3" t="n"/>
      <c r="P62" s="2" t="n"/>
      <c r="Q62" s="2" t="n"/>
      <c r="R62" s="2" t="n"/>
      <c r="S62" s="2">
        <f>IF(A62="","",IF(OR(C62="",G62="",J62="",K62="",L62="",M62="",N62="",O62="",P62="",Project!$B$10="",Project!$B$11=""),"Incomplete","Ready"))</f>
        <v/>
      </c>
      <c r="T62" s="6">
        <f>IF(S62&lt;&gt;"Ready","",ROUND(J62*L62*N62,2))</f>
        <v/>
      </c>
      <c r="U62" s="6">
        <f>IF(S62&lt;&gt;"Ready","",ROUND(L62*N62*(1+O62),2))</f>
        <v/>
      </c>
      <c r="V62" s="6">
        <f>IF(S62&lt;&gt;"Ready","",ROUND(J62*U62,2))</f>
        <v/>
      </c>
      <c r="W62" s="6">
        <f>IF(S62&lt;&gt;"Ready","",V62-T62)</f>
        <v/>
      </c>
      <c r="X62" s="3">
        <f>IF(S62&lt;&gt;"Ready","",IF(V62=0,0,W62/V62))</f>
        <v/>
      </c>
      <c r="Y62" s="6">
        <f>IF(S62&lt;&gt;"Ready","",IF(P62="Yes",ROUND(V62*Project!$B$11,2),0))</f>
        <v/>
      </c>
    </row>
    <row r="63">
      <c r="A63" s="2" t="n"/>
      <c r="B63" s="2" t="n"/>
      <c r="C63" s="2" t="n"/>
      <c r="D63" s="2" t="n"/>
      <c r="E63" s="2" t="n"/>
      <c r="F63" s="5" t="n"/>
      <c r="G63" s="2" t="n"/>
      <c r="H63" s="2" t="n"/>
      <c r="I63" s="5" t="n"/>
      <c r="J63" s="2" t="n"/>
      <c r="K63" s="2" t="n"/>
      <c r="L63" s="6" t="n"/>
      <c r="M63" s="2" t="n"/>
      <c r="N63" s="2" t="n"/>
      <c r="O63" s="3" t="n"/>
      <c r="P63" s="2" t="n"/>
      <c r="Q63" s="2" t="n"/>
      <c r="R63" s="2" t="n"/>
      <c r="S63" s="2">
        <f>IF(A63="","",IF(OR(C63="",G63="",J63="",K63="",L63="",M63="",N63="",O63="",P63="",Project!$B$10="",Project!$B$11=""),"Incomplete","Ready"))</f>
        <v/>
      </c>
      <c r="T63" s="6">
        <f>IF(S63&lt;&gt;"Ready","",ROUND(J63*L63*N63,2))</f>
        <v/>
      </c>
      <c r="U63" s="6">
        <f>IF(S63&lt;&gt;"Ready","",ROUND(L63*N63*(1+O63),2))</f>
        <v/>
      </c>
      <c r="V63" s="6">
        <f>IF(S63&lt;&gt;"Ready","",ROUND(J63*U63,2))</f>
        <v/>
      </c>
      <c r="W63" s="6">
        <f>IF(S63&lt;&gt;"Ready","",V63-T63)</f>
        <v/>
      </c>
      <c r="X63" s="3">
        <f>IF(S63&lt;&gt;"Ready","",IF(V63=0,0,W63/V63))</f>
        <v/>
      </c>
      <c r="Y63" s="6">
        <f>IF(S63&lt;&gt;"Ready","",IF(P63="Yes",ROUND(V63*Project!$B$11,2),0))</f>
        <v/>
      </c>
    </row>
    <row r="64">
      <c r="A64" s="2" t="n"/>
      <c r="B64" s="2" t="n"/>
      <c r="C64" s="2" t="n"/>
      <c r="D64" s="2" t="n"/>
      <c r="E64" s="2" t="n"/>
      <c r="F64" s="5" t="n"/>
      <c r="G64" s="2" t="n"/>
      <c r="H64" s="2" t="n"/>
      <c r="I64" s="5" t="n"/>
      <c r="J64" s="2" t="n"/>
      <c r="K64" s="2" t="n"/>
      <c r="L64" s="6" t="n"/>
      <c r="M64" s="2" t="n"/>
      <c r="N64" s="2" t="n"/>
      <c r="O64" s="3" t="n"/>
      <c r="P64" s="2" t="n"/>
      <c r="Q64" s="2" t="n"/>
      <c r="R64" s="2" t="n"/>
      <c r="S64" s="2">
        <f>IF(A64="","",IF(OR(C64="",G64="",J64="",K64="",L64="",M64="",N64="",O64="",P64="",Project!$B$10="",Project!$B$11=""),"Incomplete","Ready"))</f>
        <v/>
      </c>
      <c r="T64" s="6">
        <f>IF(S64&lt;&gt;"Ready","",ROUND(J64*L64*N64,2))</f>
        <v/>
      </c>
      <c r="U64" s="6">
        <f>IF(S64&lt;&gt;"Ready","",ROUND(L64*N64*(1+O64),2))</f>
        <v/>
      </c>
      <c r="V64" s="6">
        <f>IF(S64&lt;&gt;"Ready","",ROUND(J64*U64,2))</f>
        <v/>
      </c>
      <c r="W64" s="6">
        <f>IF(S64&lt;&gt;"Ready","",V64-T64)</f>
        <v/>
      </c>
      <c r="X64" s="3">
        <f>IF(S64&lt;&gt;"Ready","",IF(V64=0,0,W64/V64))</f>
        <v/>
      </c>
      <c r="Y64" s="6">
        <f>IF(S64&lt;&gt;"Ready","",IF(P64="Yes",ROUND(V64*Project!$B$11,2),0))</f>
        <v/>
      </c>
    </row>
    <row r="65">
      <c r="A65" s="2" t="n"/>
      <c r="B65" s="2" t="n"/>
      <c r="C65" s="2" t="n"/>
      <c r="D65" s="2" t="n"/>
      <c r="E65" s="2" t="n"/>
      <c r="F65" s="5" t="n"/>
      <c r="G65" s="2" t="n"/>
      <c r="H65" s="2" t="n"/>
      <c r="I65" s="5" t="n"/>
      <c r="J65" s="2" t="n"/>
      <c r="K65" s="2" t="n"/>
      <c r="L65" s="6" t="n"/>
      <c r="M65" s="2" t="n"/>
      <c r="N65" s="2" t="n"/>
      <c r="O65" s="3" t="n"/>
      <c r="P65" s="2" t="n"/>
      <c r="Q65" s="2" t="n"/>
      <c r="R65" s="2" t="n"/>
      <c r="S65" s="2">
        <f>IF(A65="","",IF(OR(C65="",G65="",J65="",K65="",L65="",M65="",N65="",O65="",P65="",Project!$B$10="",Project!$B$11=""),"Incomplete","Ready"))</f>
        <v/>
      </c>
      <c r="T65" s="6">
        <f>IF(S65&lt;&gt;"Ready","",ROUND(J65*L65*N65,2))</f>
        <v/>
      </c>
      <c r="U65" s="6">
        <f>IF(S65&lt;&gt;"Ready","",ROUND(L65*N65*(1+O65),2))</f>
        <v/>
      </c>
      <c r="V65" s="6">
        <f>IF(S65&lt;&gt;"Ready","",ROUND(J65*U65,2))</f>
        <v/>
      </c>
      <c r="W65" s="6">
        <f>IF(S65&lt;&gt;"Ready","",V65-T65)</f>
        <v/>
      </c>
      <c r="X65" s="3">
        <f>IF(S65&lt;&gt;"Ready","",IF(V65=0,0,W65/V65))</f>
        <v/>
      </c>
      <c r="Y65" s="6">
        <f>IF(S65&lt;&gt;"Ready","",IF(P65="Yes",ROUND(V65*Project!$B$11,2),0))</f>
        <v/>
      </c>
    </row>
    <row r="66">
      <c r="A66" s="2" t="n"/>
      <c r="B66" s="2" t="n"/>
      <c r="C66" s="2" t="n"/>
      <c r="D66" s="2" t="n"/>
      <c r="E66" s="2" t="n"/>
      <c r="F66" s="5" t="n"/>
      <c r="G66" s="2" t="n"/>
      <c r="H66" s="2" t="n"/>
      <c r="I66" s="5" t="n"/>
      <c r="J66" s="2" t="n"/>
      <c r="K66" s="2" t="n"/>
      <c r="L66" s="6" t="n"/>
      <c r="M66" s="2" t="n"/>
      <c r="N66" s="2" t="n"/>
      <c r="O66" s="3" t="n"/>
      <c r="P66" s="2" t="n"/>
      <c r="Q66" s="2" t="n"/>
      <c r="R66" s="2" t="n"/>
      <c r="S66" s="2">
        <f>IF(A66="","",IF(OR(C66="",G66="",J66="",K66="",L66="",M66="",N66="",O66="",P66="",Project!$B$10="",Project!$B$11=""),"Incomplete","Ready"))</f>
        <v/>
      </c>
      <c r="T66" s="6">
        <f>IF(S66&lt;&gt;"Ready","",ROUND(J66*L66*N66,2))</f>
        <v/>
      </c>
      <c r="U66" s="6">
        <f>IF(S66&lt;&gt;"Ready","",ROUND(L66*N66*(1+O66),2))</f>
        <v/>
      </c>
      <c r="V66" s="6">
        <f>IF(S66&lt;&gt;"Ready","",ROUND(J66*U66,2))</f>
        <v/>
      </c>
      <c r="W66" s="6">
        <f>IF(S66&lt;&gt;"Ready","",V66-T66)</f>
        <v/>
      </c>
      <c r="X66" s="3">
        <f>IF(S66&lt;&gt;"Ready","",IF(V66=0,0,W66/V66))</f>
        <v/>
      </c>
      <c r="Y66" s="6">
        <f>IF(S66&lt;&gt;"Ready","",IF(P66="Yes",ROUND(V66*Project!$B$11,2),0))</f>
        <v/>
      </c>
    </row>
    <row r="67">
      <c r="A67" s="2" t="n"/>
      <c r="B67" s="2" t="n"/>
      <c r="C67" s="2" t="n"/>
      <c r="D67" s="2" t="n"/>
      <c r="E67" s="2" t="n"/>
      <c r="F67" s="5" t="n"/>
      <c r="G67" s="2" t="n"/>
      <c r="H67" s="2" t="n"/>
      <c r="I67" s="5" t="n"/>
      <c r="J67" s="2" t="n"/>
      <c r="K67" s="2" t="n"/>
      <c r="L67" s="6" t="n"/>
      <c r="M67" s="2" t="n"/>
      <c r="N67" s="2" t="n"/>
      <c r="O67" s="3" t="n"/>
      <c r="P67" s="2" t="n"/>
      <c r="Q67" s="2" t="n"/>
      <c r="R67" s="2" t="n"/>
      <c r="S67" s="2">
        <f>IF(A67="","",IF(OR(C67="",G67="",J67="",K67="",L67="",M67="",N67="",O67="",P67="",Project!$B$10="",Project!$B$11=""),"Incomplete","Ready"))</f>
        <v/>
      </c>
      <c r="T67" s="6">
        <f>IF(S67&lt;&gt;"Ready","",ROUND(J67*L67*N67,2))</f>
        <v/>
      </c>
      <c r="U67" s="6">
        <f>IF(S67&lt;&gt;"Ready","",ROUND(L67*N67*(1+O67),2))</f>
        <v/>
      </c>
      <c r="V67" s="6">
        <f>IF(S67&lt;&gt;"Ready","",ROUND(J67*U67,2))</f>
        <v/>
      </c>
      <c r="W67" s="6">
        <f>IF(S67&lt;&gt;"Ready","",V67-T67)</f>
        <v/>
      </c>
      <c r="X67" s="3">
        <f>IF(S67&lt;&gt;"Ready","",IF(V67=0,0,W67/V67))</f>
        <v/>
      </c>
      <c r="Y67" s="6">
        <f>IF(S67&lt;&gt;"Ready","",IF(P67="Yes",ROUND(V67*Project!$B$11,2),0))</f>
        <v/>
      </c>
    </row>
    <row r="68">
      <c r="A68" s="2" t="n"/>
      <c r="B68" s="2" t="n"/>
      <c r="C68" s="2" t="n"/>
      <c r="D68" s="2" t="n"/>
      <c r="E68" s="2" t="n"/>
      <c r="F68" s="5" t="n"/>
      <c r="G68" s="2" t="n"/>
      <c r="H68" s="2" t="n"/>
      <c r="I68" s="5" t="n"/>
      <c r="J68" s="2" t="n"/>
      <c r="K68" s="2" t="n"/>
      <c r="L68" s="6" t="n"/>
      <c r="M68" s="2" t="n"/>
      <c r="N68" s="2" t="n"/>
      <c r="O68" s="3" t="n"/>
      <c r="P68" s="2" t="n"/>
      <c r="Q68" s="2" t="n"/>
      <c r="R68" s="2" t="n"/>
      <c r="S68" s="2">
        <f>IF(A68="","",IF(OR(C68="",G68="",J68="",K68="",L68="",M68="",N68="",O68="",P68="",Project!$B$10="",Project!$B$11=""),"Incomplete","Ready"))</f>
        <v/>
      </c>
      <c r="T68" s="6">
        <f>IF(S68&lt;&gt;"Ready","",ROUND(J68*L68*N68,2))</f>
        <v/>
      </c>
      <c r="U68" s="6">
        <f>IF(S68&lt;&gt;"Ready","",ROUND(L68*N68*(1+O68),2))</f>
        <v/>
      </c>
      <c r="V68" s="6">
        <f>IF(S68&lt;&gt;"Ready","",ROUND(J68*U68,2))</f>
        <v/>
      </c>
      <c r="W68" s="6">
        <f>IF(S68&lt;&gt;"Ready","",V68-T68)</f>
        <v/>
      </c>
      <c r="X68" s="3">
        <f>IF(S68&lt;&gt;"Ready","",IF(V68=0,0,W68/V68))</f>
        <v/>
      </c>
      <c r="Y68" s="6">
        <f>IF(S68&lt;&gt;"Ready","",IF(P68="Yes",ROUND(V68*Project!$B$11,2),0))</f>
        <v/>
      </c>
    </row>
    <row r="69">
      <c r="A69" s="2" t="n"/>
      <c r="B69" s="2" t="n"/>
      <c r="C69" s="2" t="n"/>
      <c r="D69" s="2" t="n"/>
      <c r="E69" s="2" t="n"/>
      <c r="F69" s="5" t="n"/>
      <c r="G69" s="2" t="n"/>
      <c r="H69" s="2" t="n"/>
      <c r="I69" s="5" t="n"/>
      <c r="J69" s="2" t="n"/>
      <c r="K69" s="2" t="n"/>
      <c r="L69" s="6" t="n"/>
      <c r="M69" s="2" t="n"/>
      <c r="N69" s="2" t="n"/>
      <c r="O69" s="3" t="n"/>
      <c r="P69" s="2" t="n"/>
      <c r="Q69" s="2" t="n"/>
      <c r="R69" s="2" t="n"/>
      <c r="S69" s="2">
        <f>IF(A69="","",IF(OR(C69="",G69="",J69="",K69="",L69="",M69="",N69="",O69="",P69="",Project!$B$10="",Project!$B$11=""),"Incomplete","Ready"))</f>
        <v/>
      </c>
      <c r="T69" s="6">
        <f>IF(S69&lt;&gt;"Ready","",ROUND(J69*L69*N69,2))</f>
        <v/>
      </c>
      <c r="U69" s="6">
        <f>IF(S69&lt;&gt;"Ready","",ROUND(L69*N69*(1+O69),2))</f>
        <v/>
      </c>
      <c r="V69" s="6">
        <f>IF(S69&lt;&gt;"Ready","",ROUND(J69*U69,2))</f>
        <v/>
      </c>
      <c r="W69" s="6">
        <f>IF(S69&lt;&gt;"Ready","",V69-T69)</f>
        <v/>
      </c>
      <c r="X69" s="3">
        <f>IF(S69&lt;&gt;"Ready","",IF(V69=0,0,W69/V69))</f>
        <v/>
      </c>
      <c r="Y69" s="6">
        <f>IF(S69&lt;&gt;"Ready","",IF(P69="Yes",ROUND(V69*Project!$B$11,2),0))</f>
        <v/>
      </c>
    </row>
    <row r="70">
      <c r="A70" s="2" t="n"/>
      <c r="B70" s="2" t="n"/>
      <c r="C70" s="2" t="n"/>
      <c r="D70" s="2" t="n"/>
      <c r="E70" s="2" t="n"/>
      <c r="F70" s="5" t="n"/>
      <c r="G70" s="2" t="n"/>
      <c r="H70" s="2" t="n"/>
      <c r="I70" s="5" t="n"/>
      <c r="J70" s="2" t="n"/>
      <c r="K70" s="2" t="n"/>
      <c r="L70" s="6" t="n"/>
      <c r="M70" s="2" t="n"/>
      <c r="N70" s="2" t="n"/>
      <c r="O70" s="3" t="n"/>
      <c r="P70" s="2" t="n"/>
      <c r="Q70" s="2" t="n"/>
      <c r="R70" s="2" t="n"/>
      <c r="S70" s="2">
        <f>IF(A70="","",IF(OR(C70="",G70="",J70="",K70="",L70="",M70="",N70="",O70="",P70="",Project!$B$10="",Project!$B$11=""),"Incomplete","Ready"))</f>
        <v/>
      </c>
      <c r="T70" s="6">
        <f>IF(S70&lt;&gt;"Ready","",ROUND(J70*L70*N70,2))</f>
        <v/>
      </c>
      <c r="U70" s="6">
        <f>IF(S70&lt;&gt;"Ready","",ROUND(L70*N70*(1+O70),2))</f>
        <v/>
      </c>
      <c r="V70" s="6">
        <f>IF(S70&lt;&gt;"Ready","",ROUND(J70*U70,2))</f>
        <v/>
      </c>
      <c r="W70" s="6">
        <f>IF(S70&lt;&gt;"Ready","",V70-T70)</f>
        <v/>
      </c>
      <c r="X70" s="3">
        <f>IF(S70&lt;&gt;"Ready","",IF(V70=0,0,W70/V70))</f>
        <v/>
      </c>
      <c r="Y70" s="6">
        <f>IF(S70&lt;&gt;"Ready","",IF(P70="Yes",ROUND(V70*Project!$B$11,2),0))</f>
        <v/>
      </c>
    </row>
    <row r="71">
      <c r="A71" s="2" t="n"/>
      <c r="B71" s="2" t="n"/>
      <c r="C71" s="2" t="n"/>
      <c r="D71" s="2" t="n"/>
      <c r="E71" s="2" t="n"/>
      <c r="F71" s="5" t="n"/>
      <c r="G71" s="2" t="n"/>
      <c r="H71" s="2" t="n"/>
      <c r="I71" s="5" t="n"/>
      <c r="J71" s="2" t="n"/>
      <c r="K71" s="2" t="n"/>
      <c r="L71" s="6" t="n"/>
      <c r="M71" s="2" t="n"/>
      <c r="N71" s="2" t="n"/>
      <c r="O71" s="3" t="n"/>
      <c r="P71" s="2" t="n"/>
      <c r="Q71" s="2" t="n"/>
      <c r="R71" s="2" t="n"/>
      <c r="S71" s="2">
        <f>IF(A71="","",IF(OR(C71="",G71="",J71="",K71="",L71="",M71="",N71="",O71="",P71="",Project!$B$10="",Project!$B$11=""),"Incomplete","Ready"))</f>
        <v/>
      </c>
      <c r="T71" s="6">
        <f>IF(S71&lt;&gt;"Ready","",ROUND(J71*L71*N71,2))</f>
        <v/>
      </c>
      <c r="U71" s="6">
        <f>IF(S71&lt;&gt;"Ready","",ROUND(L71*N71*(1+O71),2))</f>
        <v/>
      </c>
      <c r="V71" s="6">
        <f>IF(S71&lt;&gt;"Ready","",ROUND(J71*U71,2))</f>
        <v/>
      </c>
      <c r="W71" s="6">
        <f>IF(S71&lt;&gt;"Ready","",V71-T71)</f>
        <v/>
      </c>
      <c r="X71" s="3">
        <f>IF(S71&lt;&gt;"Ready","",IF(V71=0,0,W71/V71))</f>
        <v/>
      </c>
      <c r="Y71" s="6">
        <f>IF(S71&lt;&gt;"Ready","",IF(P71="Yes",ROUND(V71*Project!$B$11,2),0))</f>
        <v/>
      </c>
    </row>
    <row r="72">
      <c r="A72" s="2" t="n"/>
      <c r="B72" s="2" t="n"/>
      <c r="C72" s="2" t="n"/>
      <c r="D72" s="2" t="n"/>
      <c r="E72" s="2" t="n"/>
      <c r="F72" s="5" t="n"/>
      <c r="G72" s="2" t="n"/>
      <c r="H72" s="2" t="n"/>
      <c r="I72" s="5" t="n"/>
      <c r="J72" s="2" t="n"/>
      <c r="K72" s="2" t="n"/>
      <c r="L72" s="6" t="n"/>
      <c r="M72" s="2" t="n"/>
      <c r="N72" s="2" t="n"/>
      <c r="O72" s="3" t="n"/>
      <c r="P72" s="2" t="n"/>
      <c r="Q72" s="2" t="n"/>
      <c r="R72" s="2" t="n"/>
      <c r="S72" s="2">
        <f>IF(A72="","",IF(OR(C72="",G72="",J72="",K72="",L72="",M72="",N72="",O72="",P72="",Project!$B$10="",Project!$B$11=""),"Incomplete","Ready"))</f>
        <v/>
      </c>
      <c r="T72" s="6">
        <f>IF(S72&lt;&gt;"Ready","",ROUND(J72*L72*N72,2))</f>
        <v/>
      </c>
      <c r="U72" s="6">
        <f>IF(S72&lt;&gt;"Ready","",ROUND(L72*N72*(1+O72),2))</f>
        <v/>
      </c>
      <c r="V72" s="6">
        <f>IF(S72&lt;&gt;"Ready","",ROUND(J72*U72,2))</f>
        <v/>
      </c>
      <c r="W72" s="6">
        <f>IF(S72&lt;&gt;"Ready","",V72-T72)</f>
        <v/>
      </c>
      <c r="X72" s="3">
        <f>IF(S72&lt;&gt;"Ready","",IF(V72=0,0,W72/V72))</f>
        <v/>
      </c>
      <c r="Y72" s="6">
        <f>IF(S72&lt;&gt;"Ready","",IF(P72="Yes",ROUND(V72*Project!$B$11,2),0))</f>
        <v/>
      </c>
    </row>
    <row r="73">
      <c r="A73" s="2" t="n"/>
      <c r="B73" s="2" t="n"/>
      <c r="C73" s="2" t="n"/>
      <c r="D73" s="2" t="n"/>
      <c r="E73" s="2" t="n"/>
      <c r="F73" s="5" t="n"/>
      <c r="G73" s="2" t="n"/>
      <c r="H73" s="2" t="n"/>
      <c r="I73" s="5" t="n"/>
      <c r="J73" s="2" t="n"/>
      <c r="K73" s="2" t="n"/>
      <c r="L73" s="6" t="n"/>
      <c r="M73" s="2" t="n"/>
      <c r="N73" s="2" t="n"/>
      <c r="O73" s="3" t="n"/>
      <c r="P73" s="2" t="n"/>
      <c r="Q73" s="2" t="n"/>
      <c r="R73" s="2" t="n"/>
      <c r="S73" s="2">
        <f>IF(A73="","",IF(OR(C73="",G73="",J73="",K73="",L73="",M73="",N73="",O73="",P73="",Project!$B$10="",Project!$B$11=""),"Incomplete","Ready"))</f>
        <v/>
      </c>
      <c r="T73" s="6">
        <f>IF(S73&lt;&gt;"Ready","",ROUND(J73*L73*N73,2))</f>
        <v/>
      </c>
      <c r="U73" s="6">
        <f>IF(S73&lt;&gt;"Ready","",ROUND(L73*N73*(1+O73),2))</f>
        <v/>
      </c>
      <c r="V73" s="6">
        <f>IF(S73&lt;&gt;"Ready","",ROUND(J73*U73,2))</f>
        <v/>
      </c>
      <c r="W73" s="6">
        <f>IF(S73&lt;&gt;"Ready","",V73-T73)</f>
        <v/>
      </c>
      <c r="X73" s="3">
        <f>IF(S73&lt;&gt;"Ready","",IF(V73=0,0,W73/V73))</f>
        <v/>
      </c>
      <c r="Y73" s="6">
        <f>IF(S73&lt;&gt;"Ready","",IF(P73="Yes",ROUND(V73*Project!$B$11,2),0))</f>
        <v/>
      </c>
    </row>
    <row r="74">
      <c r="A74" s="2" t="n"/>
      <c r="B74" s="2" t="n"/>
      <c r="C74" s="2" t="n"/>
      <c r="D74" s="2" t="n"/>
      <c r="E74" s="2" t="n"/>
      <c r="F74" s="5" t="n"/>
      <c r="G74" s="2" t="n"/>
      <c r="H74" s="2" t="n"/>
      <c r="I74" s="5" t="n"/>
      <c r="J74" s="2" t="n"/>
      <c r="K74" s="2" t="n"/>
      <c r="L74" s="6" t="n"/>
      <c r="M74" s="2" t="n"/>
      <c r="N74" s="2" t="n"/>
      <c r="O74" s="3" t="n"/>
      <c r="P74" s="2" t="n"/>
      <c r="Q74" s="2" t="n"/>
      <c r="R74" s="2" t="n"/>
      <c r="S74" s="2">
        <f>IF(A74="","",IF(OR(C74="",G74="",J74="",K74="",L74="",M74="",N74="",O74="",P74="",Project!$B$10="",Project!$B$11=""),"Incomplete","Ready"))</f>
        <v/>
      </c>
      <c r="T74" s="6">
        <f>IF(S74&lt;&gt;"Ready","",ROUND(J74*L74*N74,2))</f>
        <v/>
      </c>
      <c r="U74" s="6">
        <f>IF(S74&lt;&gt;"Ready","",ROUND(L74*N74*(1+O74),2))</f>
        <v/>
      </c>
      <c r="V74" s="6">
        <f>IF(S74&lt;&gt;"Ready","",ROUND(J74*U74,2))</f>
        <v/>
      </c>
      <c r="W74" s="6">
        <f>IF(S74&lt;&gt;"Ready","",V74-T74)</f>
        <v/>
      </c>
      <c r="X74" s="3">
        <f>IF(S74&lt;&gt;"Ready","",IF(V74=0,0,W74/V74))</f>
        <v/>
      </c>
      <c r="Y74" s="6">
        <f>IF(S74&lt;&gt;"Ready","",IF(P74="Yes",ROUND(V74*Project!$B$11,2),0))</f>
        <v/>
      </c>
    </row>
    <row r="75">
      <c r="A75" s="2" t="n"/>
      <c r="B75" s="2" t="n"/>
      <c r="C75" s="2" t="n"/>
      <c r="D75" s="2" t="n"/>
      <c r="E75" s="2" t="n"/>
      <c r="F75" s="5" t="n"/>
      <c r="G75" s="2" t="n"/>
      <c r="H75" s="2" t="n"/>
      <c r="I75" s="5" t="n"/>
      <c r="J75" s="2" t="n"/>
      <c r="K75" s="2" t="n"/>
      <c r="L75" s="6" t="n"/>
      <c r="M75" s="2" t="n"/>
      <c r="N75" s="2" t="n"/>
      <c r="O75" s="3" t="n"/>
      <c r="P75" s="2" t="n"/>
      <c r="Q75" s="2" t="n"/>
      <c r="R75" s="2" t="n"/>
      <c r="S75" s="2">
        <f>IF(A75="","",IF(OR(C75="",G75="",J75="",K75="",L75="",M75="",N75="",O75="",P75="",Project!$B$10="",Project!$B$11=""),"Incomplete","Ready"))</f>
        <v/>
      </c>
      <c r="T75" s="6">
        <f>IF(S75&lt;&gt;"Ready","",ROUND(J75*L75*N75,2))</f>
        <v/>
      </c>
      <c r="U75" s="6">
        <f>IF(S75&lt;&gt;"Ready","",ROUND(L75*N75*(1+O75),2))</f>
        <v/>
      </c>
      <c r="V75" s="6">
        <f>IF(S75&lt;&gt;"Ready","",ROUND(J75*U75,2))</f>
        <v/>
      </c>
      <c r="W75" s="6">
        <f>IF(S75&lt;&gt;"Ready","",V75-T75)</f>
        <v/>
      </c>
      <c r="X75" s="3">
        <f>IF(S75&lt;&gt;"Ready","",IF(V75=0,0,W75/V75))</f>
        <v/>
      </c>
      <c r="Y75" s="6">
        <f>IF(S75&lt;&gt;"Ready","",IF(P75="Yes",ROUND(V75*Project!$B$11,2),0))</f>
        <v/>
      </c>
    </row>
    <row r="76">
      <c r="A76" s="2" t="n"/>
      <c r="B76" s="2" t="n"/>
      <c r="C76" s="2" t="n"/>
      <c r="D76" s="2" t="n"/>
      <c r="E76" s="2" t="n"/>
      <c r="F76" s="5" t="n"/>
      <c r="G76" s="2" t="n"/>
      <c r="H76" s="2" t="n"/>
      <c r="I76" s="5" t="n"/>
      <c r="J76" s="2" t="n"/>
      <c r="K76" s="2" t="n"/>
      <c r="L76" s="6" t="n"/>
      <c r="M76" s="2" t="n"/>
      <c r="N76" s="2" t="n"/>
      <c r="O76" s="3" t="n"/>
      <c r="P76" s="2" t="n"/>
      <c r="Q76" s="2" t="n"/>
      <c r="R76" s="2" t="n"/>
      <c r="S76" s="2">
        <f>IF(A76="","",IF(OR(C76="",G76="",J76="",K76="",L76="",M76="",N76="",O76="",P76="",Project!$B$10="",Project!$B$11=""),"Incomplete","Ready"))</f>
        <v/>
      </c>
      <c r="T76" s="6">
        <f>IF(S76&lt;&gt;"Ready","",ROUND(J76*L76*N76,2))</f>
        <v/>
      </c>
      <c r="U76" s="6">
        <f>IF(S76&lt;&gt;"Ready","",ROUND(L76*N76*(1+O76),2))</f>
        <v/>
      </c>
      <c r="V76" s="6">
        <f>IF(S76&lt;&gt;"Ready","",ROUND(J76*U76,2))</f>
        <v/>
      </c>
      <c r="W76" s="6">
        <f>IF(S76&lt;&gt;"Ready","",V76-T76)</f>
        <v/>
      </c>
      <c r="X76" s="3">
        <f>IF(S76&lt;&gt;"Ready","",IF(V76=0,0,W76/V76))</f>
        <v/>
      </c>
      <c r="Y76" s="6">
        <f>IF(S76&lt;&gt;"Ready","",IF(P76="Yes",ROUND(V76*Project!$B$11,2),0))</f>
        <v/>
      </c>
    </row>
    <row r="77">
      <c r="A77" s="2" t="n"/>
      <c r="B77" s="2" t="n"/>
      <c r="C77" s="2" t="n"/>
      <c r="D77" s="2" t="n"/>
      <c r="E77" s="2" t="n"/>
      <c r="F77" s="5" t="n"/>
      <c r="G77" s="2" t="n"/>
      <c r="H77" s="2" t="n"/>
      <c r="I77" s="5" t="n"/>
      <c r="J77" s="2" t="n"/>
      <c r="K77" s="2" t="n"/>
      <c r="L77" s="6" t="n"/>
      <c r="M77" s="2" t="n"/>
      <c r="N77" s="2" t="n"/>
      <c r="O77" s="3" t="n"/>
      <c r="P77" s="2" t="n"/>
      <c r="Q77" s="2" t="n"/>
      <c r="R77" s="2" t="n"/>
      <c r="S77" s="2">
        <f>IF(A77="","",IF(OR(C77="",G77="",J77="",K77="",L77="",M77="",N77="",O77="",P77="",Project!$B$10="",Project!$B$11=""),"Incomplete","Ready"))</f>
        <v/>
      </c>
      <c r="T77" s="6">
        <f>IF(S77&lt;&gt;"Ready","",ROUND(J77*L77*N77,2))</f>
        <v/>
      </c>
      <c r="U77" s="6">
        <f>IF(S77&lt;&gt;"Ready","",ROUND(L77*N77*(1+O77),2))</f>
        <v/>
      </c>
      <c r="V77" s="6">
        <f>IF(S77&lt;&gt;"Ready","",ROUND(J77*U77,2))</f>
        <v/>
      </c>
      <c r="W77" s="6">
        <f>IF(S77&lt;&gt;"Ready","",V77-T77)</f>
        <v/>
      </c>
      <c r="X77" s="3">
        <f>IF(S77&lt;&gt;"Ready","",IF(V77=0,0,W77/V77))</f>
        <v/>
      </c>
      <c r="Y77" s="6">
        <f>IF(S77&lt;&gt;"Ready","",IF(P77="Yes",ROUND(V77*Project!$B$11,2),0))</f>
        <v/>
      </c>
    </row>
    <row r="78">
      <c r="A78" s="2" t="n"/>
      <c r="B78" s="2" t="n"/>
      <c r="C78" s="2" t="n"/>
      <c r="D78" s="2" t="n"/>
      <c r="E78" s="2" t="n"/>
      <c r="F78" s="5" t="n"/>
      <c r="G78" s="2" t="n"/>
      <c r="H78" s="2" t="n"/>
      <c r="I78" s="5" t="n"/>
      <c r="J78" s="2" t="n"/>
      <c r="K78" s="2" t="n"/>
      <c r="L78" s="6" t="n"/>
      <c r="M78" s="2" t="n"/>
      <c r="N78" s="2" t="n"/>
      <c r="O78" s="3" t="n"/>
      <c r="P78" s="2" t="n"/>
      <c r="Q78" s="2" t="n"/>
      <c r="R78" s="2" t="n"/>
      <c r="S78" s="2">
        <f>IF(A78="","",IF(OR(C78="",G78="",J78="",K78="",L78="",M78="",N78="",O78="",P78="",Project!$B$10="",Project!$B$11=""),"Incomplete","Ready"))</f>
        <v/>
      </c>
      <c r="T78" s="6">
        <f>IF(S78&lt;&gt;"Ready","",ROUND(J78*L78*N78,2))</f>
        <v/>
      </c>
      <c r="U78" s="6">
        <f>IF(S78&lt;&gt;"Ready","",ROUND(L78*N78*(1+O78),2))</f>
        <v/>
      </c>
      <c r="V78" s="6">
        <f>IF(S78&lt;&gt;"Ready","",ROUND(J78*U78,2))</f>
        <v/>
      </c>
      <c r="W78" s="6">
        <f>IF(S78&lt;&gt;"Ready","",V78-T78)</f>
        <v/>
      </c>
      <c r="X78" s="3">
        <f>IF(S78&lt;&gt;"Ready","",IF(V78=0,0,W78/V78))</f>
        <v/>
      </c>
      <c r="Y78" s="6">
        <f>IF(S78&lt;&gt;"Ready","",IF(P78="Yes",ROUND(V78*Project!$B$11,2),0))</f>
        <v/>
      </c>
    </row>
    <row r="79">
      <c r="A79" s="2" t="n"/>
      <c r="B79" s="2" t="n"/>
      <c r="C79" s="2" t="n"/>
      <c r="D79" s="2" t="n"/>
      <c r="E79" s="2" t="n"/>
      <c r="F79" s="5" t="n"/>
      <c r="G79" s="2" t="n"/>
      <c r="H79" s="2" t="n"/>
      <c r="I79" s="5" t="n"/>
      <c r="J79" s="2" t="n"/>
      <c r="K79" s="2" t="n"/>
      <c r="L79" s="6" t="n"/>
      <c r="M79" s="2" t="n"/>
      <c r="N79" s="2" t="n"/>
      <c r="O79" s="3" t="n"/>
      <c r="P79" s="2" t="n"/>
      <c r="Q79" s="2" t="n"/>
      <c r="R79" s="2" t="n"/>
      <c r="S79" s="2">
        <f>IF(A79="","",IF(OR(C79="",G79="",J79="",K79="",L79="",M79="",N79="",O79="",P79="",Project!$B$10="",Project!$B$11=""),"Incomplete","Ready"))</f>
        <v/>
      </c>
      <c r="T79" s="6">
        <f>IF(S79&lt;&gt;"Ready","",ROUND(J79*L79*N79,2))</f>
        <v/>
      </c>
      <c r="U79" s="6">
        <f>IF(S79&lt;&gt;"Ready","",ROUND(L79*N79*(1+O79),2))</f>
        <v/>
      </c>
      <c r="V79" s="6">
        <f>IF(S79&lt;&gt;"Ready","",ROUND(J79*U79,2))</f>
        <v/>
      </c>
      <c r="W79" s="6">
        <f>IF(S79&lt;&gt;"Ready","",V79-T79)</f>
        <v/>
      </c>
      <c r="X79" s="3">
        <f>IF(S79&lt;&gt;"Ready","",IF(V79=0,0,W79/V79))</f>
        <v/>
      </c>
      <c r="Y79" s="6">
        <f>IF(S79&lt;&gt;"Ready","",IF(P79="Yes",ROUND(V79*Project!$B$11,2),0))</f>
        <v/>
      </c>
    </row>
    <row r="80">
      <c r="A80" s="2" t="n"/>
      <c r="B80" s="2" t="n"/>
      <c r="C80" s="2" t="n"/>
      <c r="D80" s="2" t="n"/>
      <c r="E80" s="2" t="n"/>
      <c r="F80" s="5" t="n"/>
      <c r="G80" s="2" t="n"/>
      <c r="H80" s="2" t="n"/>
      <c r="I80" s="5" t="n"/>
      <c r="J80" s="2" t="n"/>
      <c r="K80" s="2" t="n"/>
      <c r="L80" s="6" t="n"/>
      <c r="M80" s="2" t="n"/>
      <c r="N80" s="2" t="n"/>
      <c r="O80" s="3" t="n"/>
      <c r="P80" s="2" t="n"/>
      <c r="Q80" s="2" t="n"/>
      <c r="R80" s="2" t="n"/>
      <c r="S80" s="2">
        <f>IF(A80="","",IF(OR(C80="",G80="",J80="",K80="",L80="",M80="",N80="",O80="",P80="",Project!$B$10="",Project!$B$11=""),"Incomplete","Ready"))</f>
        <v/>
      </c>
      <c r="T80" s="6">
        <f>IF(S80&lt;&gt;"Ready","",ROUND(J80*L80*N80,2))</f>
        <v/>
      </c>
      <c r="U80" s="6">
        <f>IF(S80&lt;&gt;"Ready","",ROUND(L80*N80*(1+O80),2))</f>
        <v/>
      </c>
      <c r="V80" s="6">
        <f>IF(S80&lt;&gt;"Ready","",ROUND(J80*U80,2))</f>
        <v/>
      </c>
      <c r="W80" s="6">
        <f>IF(S80&lt;&gt;"Ready","",V80-T80)</f>
        <v/>
      </c>
      <c r="X80" s="3">
        <f>IF(S80&lt;&gt;"Ready","",IF(V80=0,0,W80/V80))</f>
        <v/>
      </c>
      <c r="Y80" s="6">
        <f>IF(S80&lt;&gt;"Ready","",IF(P80="Yes",ROUND(V80*Project!$B$11,2),0))</f>
        <v/>
      </c>
    </row>
    <row r="81">
      <c r="A81" s="2" t="n"/>
      <c r="B81" s="2" t="n"/>
      <c r="C81" s="2" t="n"/>
      <c r="D81" s="2" t="n"/>
      <c r="E81" s="2" t="n"/>
      <c r="F81" s="5" t="n"/>
      <c r="G81" s="2" t="n"/>
      <c r="H81" s="2" t="n"/>
      <c r="I81" s="5" t="n"/>
      <c r="J81" s="2" t="n"/>
      <c r="K81" s="2" t="n"/>
      <c r="L81" s="6" t="n"/>
      <c r="M81" s="2" t="n"/>
      <c r="N81" s="2" t="n"/>
      <c r="O81" s="3" t="n"/>
      <c r="P81" s="2" t="n"/>
      <c r="Q81" s="2" t="n"/>
      <c r="R81" s="2" t="n"/>
      <c r="S81" s="2">
        <f>IF(A81="","",IF(OR(C81="",G81="",J81="",K81="",L81="",M81="",N81="",O81="",P81="",Project!$B$10="",Project!$B$11=""),"Incomplete","Ready"))</f>
        <v/>
      </c>
      <c r="T81" s="6">
        <f>IF(S81&lt;&gt;"Ready","",ROUND(J81*L81*N81,2))</f>
        <v/>
      </c>
      <c r="U81" s="6">
        <f>IF(S81&lt;&gt;"Ready","",ROUND(L81*N81*(1+O81),2))</f>
        <v/>
      </c>
      <c r="V81" s="6">
        <f>IF(S81&lt;&gt;"Ready","",ROUND(J81*U81,2))</f>
        <v/>
      </c>
      <c r="W81" s="6">
        <f>IF(S81&lt;&gt;"Ready","",V81-T81)</f>
        <v/>
      </c>
      <c r="X81" s="3">
        <f>IF(S81&lt;&gt;"Ready","",IF(V81=0,0,W81/V81))</f>
        <v/>
      </c>
      <c r="Y81" s="6">
        <f>IF(S81&lt;&gt;"Ready","",IF(P81="Yes",ROUND(V81*Project!$B$11,2),0))</f>
        <v/>
      </c>
    </row>
    <row r="82">
      <c r="A82" s="2" t="n"/>
      <c r="B82" s="2" t="n"/>
      <c r="C82" s="2" t="n"/>
      <c r="D82" s="2" t="n"/>
      <c r="E82" s="2" t="n"/>
      <c r="F82" s="5" t="n"/>
      <c r="G82" s="2" t="n"/>
      <c r="H82" s="2" t="n"/>
      <c r="I82" s="5" t="n"/>
      <c r="J82" s="2" t="n"/>
      <c r="K82" s="2" t="n"/>
      <c r="L82" s="6" t="n"/>
      <c r="M82" s="2" t="n"/>
      <c r="N82" s="2" t="n"/>
      <c r="O82" s="3" t="n"/>
      <c r="P82" s="2" t="n"/>
      <c r="Q82" s="2" t="n"/>
      <c r="R82" s="2" t="n"/>
      <c r="S82" s="2">
        <f>IF(A82="","",IF(OR(C82="",G82="",J82="",K82="",L82="",M82="",N82="",O82="",P82="",Project!$B$10="",Project!$B$11=""),"Incomplete","Ready"))</f>
        <v/>
      </c>
      <c r="T82" s="6">
        <f>IF(S82&lt;&gt;"Ready","",ROUND(J82*L82*N82,2))</f>
        <v/>
      </c>
      <c r="U82" s="6">
        <f>IF(S82&lt;&gt;"Ready","",ROUND(L82*N82*(1+O82),2))</f>
        <v/>
      </c>
      <c r="V82" s="6">
        <f>IF(S82&lt;&gt;"Ready","",ROUND(J82*U82,2))</f>
        <v/>
      </c>
      <c r="W82" s="6">
        <f>IF(S82&lt;&gt;"Ready","",V82-T82)</f>
        <v/>
      </c>
      <c r="X82" s="3">
        <f>IF(S82&lt;&gt;"Ready","",IF(V82=0,0,W82/V82))</f>
        <v/>
      </c>
      <c r="Y82" s="6">
        <f>IF(S82&lt;&gt;"Ready","",IF(P82="Yes",ROUND(V82*Project!$B$11,2),0))</f>
        <v/>
      </c>
    </row>
    <row r="83">
      <c r="A83" s="2" t="n"/>
      <c r="B83" s="2" t="n"/>
      <c r="C83" s="2" t="n"/>
      <c r="D83" s="2" t="n"/>
      <c r="E83" s="2" t="n"/>
      <c r="F83" s="5" t="n"/>
      <c r="G83" s="2" t="n"/>
      <c r="H83" s="2" t="n"/>
      <c r="I83" s="5" t="n"/>
      <c r="J83" s="2" t="n"/>
      <c r="K83" s="2" t="n"/>
      <c r="L83" s="6" t="n"/>
      <c r="M83" s="2" t="n"/>
      <c r="N83" s="2" t="n"/>
      <c r="O83" s="3" t="n"/>
      <c r="P83" s="2" t="n"/>
      <c r="Q83" s="2" t="n"/>
      <c r="R83" s="2" t="n"/>
      <c r="S83" s="2">
        <f>IF(A83="","",IF(OR(C83="",G83="",J83="",K83="",L83="",M83="",N83="",O83="",P83="",Project!$B$10="",Project!$B$11=""),"Incomplete","Ready"))</f>
        <v/>
      </c>
      <c r="T83" s="6">
        <f>IF(S83&lt;&gt;"Ready","",ROUND(J83*L83*N83,2))</f>
        <v/>
      </c>
      <c r="U83" s="6">
        <f>IF(S83&lt;&gt;"Ready","",ROUND(L83*N83*(1+O83),2))</f>
        <v/>
      </c>
      <c r="V83" s="6">
        <f>IF(S83&lt;&gt;"Ready","",ROUND(J83*U83,2))</f>
        <v/>
      </c>
      <c r="W83" s="6">
        <f>IF(S83&lt;&gt;"Ready","",V83-T83)</f>
        <v/>
      </c>
      <c r="X83" s="3">
        <f>IF(S83&lt;&gt;"Ready","",IF(V83=0,0,W83/V83))</f>
        <v/>
      </c>
      <c r="Y83" s="6">
        <f>IF(S83&lt;&gt;"Ready","",IF(P83="Yes",ROUND(V83*Project!$B$11,2),0))</f>
        <v/>
      </c>
    </row>
    <row r="84">
      <c r="A84" s="2" t="n"/>
      <c r="B84" s="2" t="n"/>
      <c r="C84" s="2" t="n"/>
      <c r="D84" s="2" t="n"/>
      <c r="E84" s="2" t="n"/>
      <c r="F84" s="5" t="n"/>
      <c r="G84" s="2" t="n"/>
      <c r="H84" s="2" t="n"/>
      <c r="I84" s="5" t="n"/>
      <c r="J84" s="2" t="n"/>
      <c r="K84" s="2" t="n"/>
      <c r="L84" s="6" t="n"/>
      <c r="M84" s="2" t="n"/>
      <c r="N84" s="2" t="n"/>
      <c r="O84" s="3" t="n"/>
      <c r="P84" s="2" t="n"/>
      <c r="Q84" s="2" t="n"/>
      <c r="R84" s="2" t="n"/>
      <c r="S84" s="2">
        <f>IF(A84="","",IF(OR(C84="",G84="",J84="",K84="",L84="",M84="",N84="",O84="",P84="",Project!$B$10="",Project!$B$11=""),"Incomplete","Ready"))</f>
        <v/>
      </c>
      <c r="T84" s="6">
        <f>IF(S84&lt;&gt;"Ready","",ROUND(J84*L84*N84,2))</f>
        <v/>
      </c>
      <c r="U84" s="6">
        <f>IF(S84&lt;&gt;"Ready","",ROUND(L84*N84*(1+O84),2))</f>
        <v/>
      </c>
      <c r="V84" s="6">
        <f>IF(S84&lt;&gt;"Ready","",ROUND(J84*U84,2))</f>
        <v/>
      </c>
      <c r="W84" s="6">
        <f>IF(S84&lt;&gt;"Ready","",V84-T84)</f>
        <v/>
      </c>
      <c r="X84" s="3">
        <f>IF(S84&lt;&gt;"Ready","",IF(V84=0,0,W84/V84))</f>
        <v/>
      </c>
      <c r="Y84" s="6">
        <f>IF(S84&lt;&gt;"Ready","",IF(P84="Yes",ROUND(V84*Project!$B$11,2),0))</f>
        <v/>
      </c>
    </row>
    <row r="85">
      <c r="A85" s="2" t="n"/>
      <c r="B85" s="2" t="n"/>
      <c r="C85" s="2" t="n"/>
      <c r="D85" s="2" t="n"/>
      <c r="E85" s="2" t="n"/>
      <c r="F85" s="5" t="n"/>
      <c r="G85" s="2" t="n"/>
      <c r="H85" s="2" t="n"/>
      <c r="I85" s="5" t="n"/>
      <c r="J85" s="2" t="n"/>
      <c r="K85" s="2" t="n"/>
      <c r="L85" s="6" t="n"/>
      <c r="M85" s="2" t="n"/>
      <c r="N85" s="2" t="n"/>
      <c r="O85" s="3" t="n"/>
      <c r="P85" s="2" t="n"/>
      <c r="Q85" s="2" t="n"/>
      <c r="R85" s="2" t="n"/>
      <c r="S85" s="2">
        <f>IF(A85="","",IF(OR(C85="",G85="",J85="",K85="",L85="",M85="",N85="",O85="",P85="",Project!$B$10="",Project!$B$11=""),"Incomplete","Ready"))</f>
        <v/>
      </c>
      <c r="T85" s="6">
        <f>IF(S85&lt;&gt;"Ready","",ROUND(J85*L85*N85,2))</f>
        <v/>
      </c>
      <c r="U85" s="6">
        <f>IF(S85&lt;&gt;"Ready","",ROUND(L85*N85*(1+O85),2))</f>
        <v/>
      </c>
      <c r="V85" s="6">
        <f>IF(S85&lt;&gt;"Ready","",ROUND(J85*U85,2))</f>
        <v/>
      </c>
      <c r="W85" s="6">
        <f>IF(S85&lt;&gt;"Ready","",V85-T85)</f>
        <v/>
      </c>
      <c r="X85" s="3">
        <f>IF(S85&lt;&gt;"Ready","",IF(V85=0,0,W85/V85))</f>
        <v/>
      </c>
      <c r="Y85" s="6">
        <f>IF(S85&lt;&gt;"Ready","",IF(P85="Yes",ROUND(V85*Project!$B$11,2),0))</f>
        <v/>
      </c>
    </row>
    <row r="86">
      <c r="A86" s="2" t="n"/>
      <c r="B86" s="2" t="n"/>
      <c r="C86" s="2" t="n"/>
      <c r="D86" s="2" t="n"/>
      <c r="E86" s="2" t="n"/>
      <c r="F86" s="5" t="n"/>
      <c r="G86" s="2" t="n"/>
      <c r="H86" s="2" t="n"/>
      <c r="I86" s="5" t="n"/>
      <c r="J86" s="2" t="n"/>
      <c r="K86" s="2" t="n"/>
      <c r="L86" s="6" t="n"/>
      <c r="M86" s="2" t="n"/>
      <c r="N86" s="2" t="n"/>
      <c r="O86" s="3" t="n"/>
      <c r="P86" s="2" t="n"/>
      <c r="Q86" s="2" t="n"/>
      <c r="R86" s="2" t="n"/>
      <c r="S86" s="2">
        <f>IF(A86="","",IF(OR(C86="",G86="",J86="",K86="",L86="",M86="",N86="",O86="",P86="",Project!$B$10="",Project!$B$11=""),"Incomplete","Ready"))</f>
        <v/>
      </c>
      <c r="T86" s="6">
        <f>IF(S86&lt;&gt;"Ready","",ROUND(J86*L86*N86,2))</f>
        <v/>
      </c>
      <c r="U86" s="6">
        <f>IF(S86&lt;&gt;"Ready","",ROUND(L86*N86*(1+O86),2))</f>
        <v/>
      </c>
      <c r="V86" s="6">
        <f>IF(S86&lt;&gt;"Ready","",ROUND(J86*U86,2))</f>
        <v/>
      </c>
      <c r="W86" s="6">
        <f>IF(S86&lt;&gt;"Ready","",V86-T86)</f>
        <v/>
      </c>
      <c r="X86" s="3">
        <f>IF(S86&lt;&gt;"Ready","",IF(V86=0,0,W86/V86))</f>
        <v/>
      </c>
      <c r="Y86" s="6">
        <f>IF(S86&lt;&gt;"Ready","",IF(P86="Yes",ROUND(V86*Project!$B$11,2),0))</f>
        <v/>
      </c>
    </row>
    <row r="87">
      <c r="A87" s="2" t="n"/>
      <c r="B87" s="2" t="n"/>
      <c r="C87" s="2" t="n"/>
      <c r="D87" s="2" t="n"/>
      <c r="E87" s="2" t="n"/>
      <c r="F87" s="5" t="n"/>
      <c r="G87" s="2" t="n"/>
      <c r="H87" s="2" t="n"/>
      <c r="I87" s="5" t="n"/>
      <c r="J87" s="2" t="n"/>
      <c r="K87" s="2" t="n"/>
      <c r="L87" s="6" t="n"/>
      <c r="M87" s="2" t="n"/>
      <c r="N87" s="2" t="n"/>
      <c r="O87" s="3" t="n"/>
      <c r="P87" s="2" t="n"/>
      <c r="Q87" s="2" t="n"/>
      <c r="R87" s="2" t="n"/>
      <c r="S87" s="2">
        <f>IF(A87="","",IF(OR(C87="",G87="",J87="",K87="",L87="",M87="",N87="",O87="",P87="",Project!$B$10="",Project!$B$11=""),"Incomplete","Ready"))</f>
        <v/>
      </c>
      <c r="T87" s="6">
        <f>IF(S87&lt;&gt;"Ready","",ROUND(J87*L87*N87,2))</f>
        <v/>
      </c>
      <c r="U87" s="6">
        <f>IF(S87&lt;&gt;"Ready","",ROUND(L87*N87*(1+O87),2))</f>
        <v/>
      </c>
      <c r="V87" s="6">
        <f>IF(S87&lt;&gt;"Ready","",ROUND(J87*U87,2))</f>
        <v/>
      </c>
      <c r="W87" s="6">
        <f>IF(S87&lt;&gt;"Ready","",V87-T87)</f>
        <v/>
      </c>
      <c r="X87" s="3">
        <f>IF(S87&lt;&gt;"Ready","",IF(V87=0,0,W87/V87))</f>
        <v/>
      </c>
      <c r="Y87" s="6">
        <f>IF(S87&lt;&gt;"Ready","",IF(P87="Yes",ROUND(V87*Project!$B$11,2),0))</f>
        <v/>
      </c>
    </row>
    <row r="88">
      <c r="A88" s="2" t="n"/>
      <c r="B88" s="2" t="n"/>
      <c r="C88" s="2" t="n"/>
      <c r="D88" s="2" t="n"/>
      <c r="E88" s="2" t="n"/>
      <c r="F88" s="5" t="n"/>
      <c r="G88" s="2" t="n"/>
      <c r="H88" s="2" t="n"/>
      <c r="I88" s="5" t="n"/>
      <c r="J88" s="2" t="n"/>
      <c r="K88" s="2" t="n"/>
      <c r="L88" s="6" t="n"/>
      <c r="M88" s="2" t="n"/>
      <c r="N88" s="2" t="n"/>
      <c r="O88" s="3" t="n"/>
      <c r="P88" s="2" t="n"/>
      <c r="Q88" s="2" t="n"/>
      <c r="R88" s="2" t="n"/>
      <c r="S88" s="2">
        <f>IF(A88="","",IF(OR(C88="",G88="",J88="",K88="",L88="",M88="",N88="",O88="",P88="",Project!$B$10="",Project!$B$11=""),"Incomplete","Ready"))</f>
        <v/>
      </c>
      <c r="T88" s="6">
        <f>IF(S88&lt;&gt;"Ready","",ROUND(J88*L88*N88,2))</f>
        <v/>
      </c>
      <c r="U88" s="6">
        <f>IF(S88&lt;&gt;"Ready","",ROUND(L88*N88*(1+O88),2))</f>
        <v/>
      </c>
      <c r="V88" s="6">
        <f>IF(S88&lt;&gt;"Ready","",ROUND(J88*U88,2))</f>
        <v/>
      </c>
      <c r="W88" s="6">
        <f>IF(S88&lt;&gt;"Ready","",V88-T88)</f>
        <v/>
      </c>
      <c r="X88" s="3">
        <f>IF(S88&lt;&gt;"Ready","",IF(V88=0,0,W88/V88))</f>
        <v/>
      </c>
      <c r="Y88" s="6">
        <f>IF(S88&lt;&gt;"Ready","",IF(P88="Yes",ROUND(V88*Project!$B$11,2),0))</f>
        <v/>
      </c>
    </row>
    <row r="89">
      <c r="A89" s="2" t="n"/>
      <c r="B89" s="2" t="n"/>
      <c r="C89" s="2" t="n"/>
      <c r="D89" s="2" t="n"/>
      <c r="E89" s="2" t="n"/>
      <c r="F89" s="5" t="n"/>
      <c r="G89" s="2" t="n"/>
      <c r="H89" s="2" t="n"/>
      <c r="I89" s="5" t="n"/>
      <c r="J89" s="2" t="n"/>
      <c r="K89" s="2" t="n"/>
      <c r="L89" s="6" t="n"/>
      <c r="M89" s="2" t="n"/>
      <c r="N89" s="2" t="n"/>
      <c r="O89" s="3" t="n"/>
      <c r="P89" s="2" t="n"/>
      <c r="Q89" s="2" t="n"/>
      <c r="R89" s="2" t="n"/>
      <c r="S89" s="2">
        <f>IF(A89="","",IF(OR(C89="",G89="",J89="",K89="",L89="",M89="",N89="",O89="",P89="",Project!$B$10="",Project!$B$11=""),"Incomplete","Ready"))</f>
        <v/>
      </c>
      <c r="T89" s="6">
        <f>IF(S89&lt;&gt;"Ready","",ROUND(J89*L89*N89,2))</f>
        <v/>
      </c>
      <c r="U89" s="6">
        <f>IF(S89&lt;&gt;"Ready","",ROUND(L89*N89*(1+O89),2))</f>
        <v/>
      </c>
      <c r="V89" s="6">
        <f>IF(S89&lt;&gt;"Ready","",ROUND(J89*U89,2))</f>
        <v/>
      </c>
      <c r="W89" s="6">
        <f>IF(S89&lt;&gt;"Ready","",V89-T89)</f>
        <v/>
      </c>
      <c r="X89" s="3">
        <f>IF(S89&lt;&gt;"Ready","",IF(V89=0,0,W89/V89))</f>
        <v/>
      </c>
      <c r="Y89" s="6">
        <f>IF(S89&lt;&gt;"Ready","",IF(P89="Yes",ROUND(V89*Project!$B$11,2),0))</f>
        <v/>
      </c>
    </row>
    <row r="90">
      <c r="A90" s="2" t="n"/>
      <c r="B90" s="2" t="n"/>
      <c r="C90" s="2" t="n"/>
      <c r="D90" s="2" t="n"/>
      <c r="E90" s="2" t="n"/>
      <c r="F90" s="5" t="n"/>
      <c r="G90" s="2" t="n"/>
      <c r="H90" s="2" t="n"/>
      <c r="I90" s="5" t="n"/>
      <c r="J90" s="2" t="n"/>
      <c r="K90" s="2" t="n"/>
      <c r="L90" s="6" t="n"/>
      <c r="M90" s="2" t="n"/>
      <c r="N90" s="2" t="n"/>
      <c r="O90" s="3" t="n"/>
      <c r="P90" s="2" t="n"/>
      <c r="Q90" s="2" t="n"/>
      <c r="R90" s="2" t="n"/>
      <c r="S90" s="2">
        <f>IF(A90="","",IF(OR(C90="",G90="",J90="",K90="",L90="",M90="",N90="",O90="",P90="",Project!$B$10="",Project!$B$11=""),"Incomplete","Ready"))</f>
        <v/>
      </c>
      <c r="T90" s="6">
        <f>IF(S90&lt;&gt;"Ready","",ROUND(J90*L90*N90,2))</f>
        <v/>
      </c>
      <c r="U90" s="6">
        <f>IF(S90&lt;&gt;"Ready","",ROUND(L90*N90*(1+O90),2))</f>
        <v/>
      </c>
      <c r="V90" s="6">
        <f>IF(S90&lt;&gt;"Ready","",ROUND(J90*U90,2))</f>
        <v/>
      </c>
      <c r="W90" s="6">
        <f>IF(S90&lt;&gt;"Ready","",V90-T90)</f>
        <v/>
      </c>
      <c r="X90" s="3">
        <f>IF(S90&lt;&gt;"Ready","",IF(V90=0,0,W90/V90))</f>
        <v/>
      </c>
      <c r="Y90" s="6">
        <f>IF(S90&lt;&gt;"Ready","",IF(P90="Yes",ROUND(V90*Project!$B$11,2),0))</f>
        <v/>
      </c>
    </row>
    <row r="91">
      <c r="A91" s="2" t="n"/>
      <c r="B91" s="2" t="n"/>
      <c r="C91" s="2" t="n"/>
      <c r="D91" s="2" t="n"/>
      <c r="E91" s="2" t="n"/>
      <c r="F91" s="5" t="n"/>
      <c r="G91" s="2" t="n"/>
      <c r="H91" s="2" t="n"/>
      <c r="I91" s="5" t="n"/>
      <c r="J91" s="2" t="n"/>
      <c r="K91" s="2" t="n"/>
      <c r="L91" s="6" t="n"/>
      <c r="M91" s="2" t="n"/>
      <c r="N91" s="2" t="n"/>
      <c r="O91" s="3" t="n"/>
      <c r="P91" s="2" t="n"/>
      <c r="Q91" s="2" t="n"/>
      <c r="R91" s="2" t="n"/>
      <c r="S91" s="2">
        <f>IF(A91="","",IF(OR(C91="",G91="",J91="",K91="",L91="",M91="",N91="",O91="",P91="",Project!$B$10="",Project!$B$11=""),"Incomplete","Ready"))</f>
        <v/>
      </c>
      <c r="T91" s="6">
        <f>IF(S91&lt;&gt;"Ready","",ROUND(J91*L91*N91,2))</f>
        <v/>
      </c>
      <c r="U91" s="6">
        <f>IF(S91&lt;&gt;"Ready","",ROUND(L91*N91*(1+O91),2))</f>
        <v/>
      </c>
      <c r="V91" s="6">
        <f>IF(S91&lt;&gt;"Ready","",ROUND(J91*U91,2))</f>
        <v/>
      </c>
      <c r="W91" s="6">
        <f>IF(S91&lt;&gt;"Ready","",V91-T91)</f>
        <v/>
      </c>
      <c r="X91" s="3">
        <f>IF(S91&lt;&gt;"Ready","",IF(V91=0,0,W91/V91))</f>
        <v/>
      </c>
      <c r="Y91" s="6">
        <f>IF(S91&lt;&gt;"Ready","",IF(P91="Yes",ROUND(V91*Project!$B$11,2),0))</f>
        <v/>
      </c>
    </row>
    <row r="92">
      <c r="A92" s="2" t="n"/>
      <c r="B92" s="2" t="n"/>
      <c r="C92" s="2" t="n"/>
      <c r="D92" s="2" t="n"/>
      <c r="E92" s="2" t="n"/>
      <c r="F92" s="5" t="n"/>
      <c r="G92" s="2" t="n"/>
      <c r="H92" s="2" t="n"/>
      <c r="I92" s="5" t="n"/>
      <c r="J92" s="2" t="n"/>
      <c r="K92" s="2" t="n"/>
      <c r="L92" s="6" t="n"/>
      <c r="M92" s="2" t="n"/>
      <c r="N92" s="2" t="n"/>
      <c r="O92" s="3" t="n"/>
      <c r="P92" s="2" t="n"/>
      <c r="Q92" s="2" t="n"/>
      <c r="R92" s="2" t="n"/>
      <c r="S92" s="2">
        <f>IF(A92="","",IF(OR(C92="",G92="",J92="",K92="",L92="",M92="",N92="",O92="",P92="",Project!$B$10="",Project!$B$11=""),"Incomplete","Ready"))</f>
        <v/>
      </c>
      <c r="T92" s="6">
        <f>IF(S92&lt;&gt;"Ready","",ROUND(J92*L92*N92,2))</f>
        <v/>
      </c>
      <c r="U92" s="6">
        <f>IF(S92&lt;&gt;"Ready","",ROUND(L92*N92*(1+O92),2))</f>
        <v/>
      </c>
      <c r="V92" s="6">
        <f>IF(S92&lt;&gt;"Ready","",ROUND(J92*U92,2))</f>
        <v/>
      </c>
      <c r="W92" s="6">
        <f>IF(S92&lt;&gt;"Ready","",V92-T92)</f>
        <v/>
      </c>
      <c r="X92" s="3">
        <f>IF(S92&lt;&gt;"Ready","",IF(V92=0,0,W92/V92))</f>
        <v/>
      </c>
      <c r="Y92" s="6">
        <f>IF(S92&lt;&gt;"Ready","",IF(P92="Yes",ROUND(V92*Project!$B$11,2),0))</f>
        <v/>
      </c>
    </row>
    <row r="93">
      <c r="A93" s="2" t="n"/>
      <c r="B93" s="2" t="n"/>
      <c r="C93" s="2" t="n"/>
      <c r="D93" s="2" t="n"/>
      <c r="E93" s="2" t="n"/>
      <c r="F93" s="5" t="n"/>
      <c r="G93" s="2" t="n"/>
      <c r="H93" s="2" t="n"/>
      <c r="I93" s="5" t="n"/>
      <c r="J93" s="2" t="n"/>
      <c r="K93" s="2" t="n"/>
      <c r="L93" s="6" t="n"/>
      <c r="M93" s="2" t="n"/>
      <c r="N93" s="2" t="n"/>
      <c r="O93" s="3" t="n"/>
      <c r="P93" s="2" t="n"/>
      <c r="Q93" s="2" t="n"/>
      <c r="R93" s="2" t="n"/>
      <c r="S93" s="2">
        <f>IF(A93="","",IF(OR(C93="",G93="",J93="",K93="",L93="",M93="",N93="",O93="",P93="",Project!$B$10="",Project!$B$11=""),"Incomplete","Ready"))</f>
        <v/>
      </c>
      <c r="T93" s="6">
        <f>IF(S93&lt;&gt;"Ready","",ROUND(J93*L93*N93,2))</f>
        <v/>
      </c>
      <c r="U93" s="6">
        <f>IF(S93&lt;&gt;"Ready","",ROUND(L93*N93*(1+O93),2))</f>
        <v/>
      </c>
      <c r="V93" s="6">
        <f>IF(S93&lt;&gt;"Ready","",ROUND(J93*U93,2))</f>
        <v/>
      </c>
      <c r="W93" s="6">
        <f>IF(S93&lt;&gt;"Ready","",V93-T93)</f>
        <v/>
      </c>
      <c r="X93" s="3">
        <f>IF(S93&lt;&gt;"Ready","",IF(V93=0,0,W93/V93))</f>
        <v/>
      </c>
      <c r="Y93" s="6">
        <f>IF(S93&lt;&gt;"Ready","",IF(P93="Yes",ROUND(V93*Project!$B$11,2),0))</f>
        <v/>
      </c>
    </row>
    <row r="94">
      <c r="A94" s="2" t="n"/>
      <c r="B94" s="2" t="n"/>
      <c r="C94" s="2" t="n"/>
      <c r="D94" s="2" t="n"/>
      <c r="E94" s="2" t="n"/>
      <c r="F94" s="5" t="n"/>
      <c r="G94" s="2" t="n"/>
      <c r="H94" s="2" t="n"/>
      <c r="I94" s="5" t="n"/>
      <c r="J94" s="2" t="n"/>
      <c r="K94" s="2" t="n"/>
      <c r="L94" s="6" t="n"/>
      <c r="M94" s="2" t="n"/>
      <c r="N94" s="2" t="n"/>
      <c r="O94" s="3" t="n"/>
      <c r="P94" s="2" t="n"/>
      <c r="Q94" s="2" t="n"/>
      <c r="R94" s="2" t="n"/>
      <c r="S94" s="2">
        <f>IF(A94="","",IF(OR(C94="",G94="",J94="",K94="",L94="",M94="",N94="",O94="",P94="",Project!$B$10="",Project!$B$11=""),"Incomplete","Ready"))</f>
        <v/>
      </c>
      <c r="T94" s="6">
        <f>IF(S94&lt;&gt;"Ready","",ROUND(J94*L94*N94,2))</f>
        <v/>
      </c>
      <c r="U94" s="6">
        <f>IF(S94&lt;&gt;"Ready","",ROUND(L94*N94*(1+O94),2))</f>
        <v/>
      </c>
      <c r="V94" s="6">
        <f>IF(S94&lt;&gt;"Ready","",ROUND(J94*U94,2))</f>
        <v/>
      </c>
      <c r="W94" s="6">
        <f>IF(S94&lt;&gt;"Ready","",V94-T94)</f>
        <v/>
      </c>
      <c r="X94" s="3">
        <f>IF(S94&lt;&gt;"Ready","",IF(V94=0,0,W94/V94))</f>
        <v/>
      </c>
      <c r="Y94" s="6">
        <f>IF(S94&lt;&gt;"Ready","",IF(P94="Yes",ROUND(V94*Project!$B$11,2),0))</f>
        <v/>
      </c>
    </row>
    <row r="95">
      <c r="A95" s="2" t="n"/>
      <c r="B95" s="2" t="n"/>
      <c r="C95" s="2" t="n"/>
      <c r="D95" s="2" t="n"/>
      <c r="E95" s="2" t="n"/>
      <c r="F95" s="5" t="n"/>
      <c r="G95" s="2" t="n"/>
      <c r="H95" s="2" t="n"/>
      <c r="I95" s="5" t="n"/>
      <c r="J95" s="2" t="n"/>
      <c r="K95" s="2" t="n"/>
      <c r="L95" s="6" t="n"/>
      <c r="M95" s="2" t="n"/>
      <c r="N95" s="2" t="n"/>
      <c r="O95" s="3" t="n"/>
      <c r="P95" s="2" t="n"/>
      <c r="Q95" s="2" t="n"/>
      <c r="R95" s="2" t="n"/>
      <c r="S95" s="2">
        <f>IF(A95="","",IF(OR(C95="",G95="",J95="",K95="",L95="",M95="",N95="",O95="",P95="",Project!$B$10="",Project!$B$11=""),"Incomplete","Ready"))</f>
        <v/>
      </c>
      <c r="T95" s="6">
        <f>IF(S95&lt;&gt;"Ready","",ROUND(J95*L95*N95,2))</f>
        <v/>
      </c>
      <c r="U95" s="6">
        <f>IF(S95&lt;&gt;"Ready","",ROUND(L95*N95*(1+O95),2))</f>
        <v/>
      </c>
      <c r="V95" s="6">
        <f>IF(S95&lt;&gt;"Ready","",ROUND(J95*U95,2))</f>
        <v/>
      </c>
      <c r="W95" s="6">
        <f>IF(S95&lt;&gt;"Ready","",V95-T95)</f>
        <v/>
      </c>
      <c r="X95" s="3">
        <f>IF(S95&lt;&gt;"Ready","",IF(V95=0,0,W95/V95))</f>
        <v/>
      </c>
      <c r="Y95" s="6">
        <f>IF(S95&lt;&gt;"Ready","",IF(P95="Yes",ROUND(V95*Project!$B$11,2),0))</f>
        <v/>
      </c>
    </row>
    <row r="96">
      <c r="A96" s="2" t="n"/>
      <c r="B96" s="2" t="n"/>
      <c r="C96" s="2" t="n"/>
      <c r="D96" s="2" t="n"/>
      <c r="E96" s="2" t="n"/>
      <c r="F96" s="5" t="n"/>
      <c r="G96" s="2" t="n"/>
      <c r="H96" s="2" t="n"/>
      <c r="I96" s="5" t="n"/>
      <c r="J96" s="2" t="n"/>
      <c r="K96" s="2" t="n"/>
      <c r="L96" s="6" t="n"/>
      <c r="M96" s="2" t="n"/>
      <c r="N96" s="2" t="n"/>
      <c r="O96" s="3" t="n"/>
      <c r="P96" s="2" t="n"/>
      <c r="Q96" s="2" t="n"/>
      <c r="R96" s="2" t="n"/>
      <c r="S96" s="2">
        <f>IF(A96="","",IF(OR(C96="",G96="",J96="",K96="",L96="",M96="",N96="",O96="",P96="",Project!$B$10="",Project!$B$11=""),"Incomplete","Ready"))</f>
        <v/>
      </c>
      <c r="T96" s="6">
        <f>IF(S96&lt;&gt;"Ready","",ROUND(J96*L96*N96,2))</f>
        <v/>
      </c>
      <c r="U96" s="6">
        <f>IF(S96&lt;&gt;"Ready","",ROUND(L96*N96*(1+O96),2))</f>
        <v/>
      </c>
      <c r="V96" s="6">
        <f>IF(S96&lt;&gt;"Ready","",ROUND(J96*U96,2))</f>
        <v/>
      </c>
      <c r="W96" s="6">
        <f>IF(S96&lt;&gt;"Ready","",V96-T96)</f>
        <v/>
      </c>
      <c r="X96" s="3">
        <f>IF(S96&lt;&gt;"Ready","",IF(V96=0,0,W96/V96))</f>
        <v/>
      </c>
      <c r="Y96" s="6">
        <f>IF(S96&lt;&gt;"Ready","",IF(P96="Yes",ROUND(V96*Project!$B$11,2),0))</f>
        <v/>
      </c>
    </row>
    <row r="97">
      <c r="A97" s="2" t="n"/>
      <c r="B97" s="2" t="n"/>
      <c r="C97" s="2" t="n"/>
      <c r="D97" s="2" t="n"/>
      <c r="E97" s="2" t="n"/>
      <c r="F97" s="5" t="n"/>
      <c r="G97" s="2" t="n"/>
      <c r="H97" s="2" t="n"/>
      <c r="I97" s="5" t="n"/>
      <c r="J97" s="2" t="n"/>
      <c r="K97" s="2" t="n"/>
      <c r="L97" s="6" t="n"/>
      <c r="M97" s="2" t="n"/>
      <c r="N97" s="2" t="n"/>
      <c r="O97" s="3" t="n"/>
      <c r="P97" s="2" t="n"/>
      <c r="Q97" s="2" t="n"/>
      <c r="R97" s="2" t="n"/>
      <c r="S97" s="2">
        <f>IF(A97="","",IF(OR(C97="",G97="",J97="",K97="",L97="",M97="",N97="",O97="",P97="",Project!$B$10="",Project!$B$11=""),"Incomplete","Ready"))</f>
        <v/>
      </c>
      <c r="T97" s="6">
        <f>IF(S97&lt;&gt;"Ready","",ROUND(J97*L97*N97,2))</f>
        <v/>
      </c>
      <c r="U97" s="6">
        <f>IF(S97&lt;&gt;"Ready","",ROUND(L97*N97*(1+O97),2))</f>
        <v/>
      </c>
      <c r="V97" s="6">
        <f>IF(S97&lt;&gt;"Ready","",ROUND(J97*U97,2))</f>
        <v/>
      </c>
      <c r="W97" s="6">
        <f>IF(S97&lt;&gt;"Ready","",V97-T97)</f>
        <v/>
      </c>
      <c r="X97" s="3">
        <f>IF(S97&lt;&gt;"Ready","",IF(V97=0,0,W97/V97))</f>
        <v/>
      </c>
      <c r="Y97" s="6">
        <f>IF(S97&lt;&gt;"Ready","",IF(P97="Yes",ROUND(V97*Project!$B$11,2),0))</f>
        <v/>
      </c>
    </row>
    <row r="98">
      <c r="A98" s="2" t="n"/>
      <c r="B98" s="2" t="n"/>
      <c r="C98" s="2" t="n"/>
      <c r="D98" s="2" t="n"/>
      <c r="E98" s="2" t="n"/>
      <c r="F98" s="5" t="n"/>
      <c r="G98" s="2" t="n"/>
      <c r="H98" s="2" t="n"/>
      <c r="I98" s="5" t="n"/>
      <c r="J98" s="2" t="n"/>
      <c r="K98" s="2" t="n"/>
      <c r="L98" s="6" t="n"/>
      <c r="M98" s="2" t="n"/>
      <c r="N98" s="2" t="n"/>
      <c r="O98" s="3" t="n"/>
      <c r="P98" s="2" t="n"/>
      <c r="Q98" s="2" t="n"/>
      <c r="R98" s="2" t="n"/>
      <c r="S98" s="2">
        <f>IF(A98="","",IF(OR(C98="",G98="",J98="",K98="",L98="",M98="",N98="",O98="",P98="",Project!$B$10="",Project!$B$11=""),"Incomplete","Ready"))</f>
        <v/>
      </c>
      <c r="T98" s="6">
        <f>IF(S98&lt;&gt;"Ready","",ROUND(J98*L98*N98,2))</f>
        <v/>
      </c>
      <c r="U98" s="6">
        <f>IF(S98&lt;&gt;"Ready","",ROUND(L98*N98*(1+O98),2))</f>
        <v/>
      </c>
      <c r="V98" s="6">
        <f>IF(S98&lt;&gt;"Ready","",ROUND(J98*U98,2))</f>
        <v/>
      </c>
      <c r="W98" s="6">
        <f>IF(S98&lt;&gt;"Ready","",V98-T98)</f>
        <v/>
      </c>
      <c r="X98" s="3">
        <f>IF(S98&lt;&gt;"Ready","",IF(V98=0,0,W98/V98))</f>
        <v/>
      </c>
      <c r="Y98" s="6">
        <f>IF(S98&lt;&gt;"Ready","",IF(P98="Yes",ROUND(V98*Project!$B$11,2),0))</f>
        <v/>
      </c>
    </row>
    <row r="99">
      <c r="A99" s="2" t="n"/>
      <c r="B99" s="2" t="n"/>
      <c r="C99" s="2" t="n"/>
      <c r="D99" s="2" t="n"/>
      <c r="E99" s="2" t="n"/>
      <c r="F99" s="5" t="n"/>
      <c r="G99" s="2" t="n"/>
      <c r="H99" s="2" t="n"/>
      <c r="I99" s="5" t="n"/>
      <c r="J99" s="2" t="n"/>
      <c r="K99" s="2" t="n"/>
      <c r="L99" s="6" t="n"/>
      <c r="M99" s="2" t="n"/>
      <c r="N99" s="2" t="n"/>
      <c r="O99" s="3" t="n"/>
      <c r="P99" s="2" t="n"/>
      <c r="Q99" s="2" t="n"/>
      <c r="R99" s="2" t="n"/>
      <c r="S99" s="2">
        <f>IF(A99="","",IF(OR(C99="",G99="",J99="",K99="",L99="",M99="",N99="",O99="",P99="",Project!$B$10="",Project!$B$11=""),"Incomplete","Ready"))</f>
        <v/>
      </c>
      <c r="T99" s="6">
        <f>IF(S99&lt;&gt;"Ready","",ROUND(J99*L99*N99,2))</f>
        <v/>
      </c>
      <c r="U99" s="6">
        <f>IF(S99&lt;&gt;"Ready","",ROUND(L99*N99*(1+O99),2))</f>
        <v/>
      </c>
      <c r="V99" s="6">
        <f>IF(S99&lt;&gt;"Ready","",ROUND(J99*U99,2))</f>
        <v/>
      </c>
      <c r="W99" s="6">
        <f>IF(S99&lt;&gt;"Ready","",V99-T99)</f>
        <v/>
      </c>
      <c r="X99" s="3">
        <f>IF(S99&lt;&gt;"Ready","",IF(V99=0,0,W99/V99))</f>
        <v/>
      </c>
      <c r="Y99" s="6">
        <f>IF(S99&lt;&gt;"Ready","",IF(P99="Yes",ROUND(V99*Project!$B$11,2),0))</f>
        <v/>
      </c>
    </row>
    <row r="100">
      <c r="A100" s="2" t="n"/>
      <c r="B100" s="2" t="n"/>
      <c r="C100" s="2" t="n"/>
      <c r="D100" s="2" t="n"/>
      <c r="E100" s="2" t="n"/>
      <c r="F100" s="5" t="n"/>
      <c r="G100" s="2" t="n"/>
      <c r="H100" s="2" t="n"/>
      <c r="I100" s="5" t="n"/>
      <c r="J100" s="2" t="n"/>
      <c r="K100" s="2" t="n"/>
      <c r="L100" s="6" t="n"/>
      <c r="M100" s="2" t="n"/>
      <c r="N100" s="2" t="n"/>
      <c r="O100" s="3" t="n"/>
      <c r="P100" s="2" t="n"/>
      <c r="Q100" s="2" t="n"/>
      <c r="R100" s="2" t="n"/>
      <c r="S100" s="2">
        <f>IF(A100="","",IF(OR(C100="",G100="",J100="",K100="",L100="",M100="",N100="",O100="",P100="",Project!$B$10="",Project!$B$11=""),"Incomplete","Ready"))</f>
        <v/>
      </c>
      <c r="T100" s="6">
        <f>IF(S100&lt;&gt;"Ready","",ROUND(J100*L100*N100,2))</f>
        <v/>
      </c>
      <c r="U100" s="6">
        <f>IF(S100&lt;&gt;"Ready","",ROUND(L100*N100*(1+O100),2))</f>
        <v/>
      </c>
      <c r="V100" s="6">
        <f>IF(S100&lt;&gt;"Ready","",ROUND(J100*U100,2))</f>
        <v/>
      </c>
      <c r="W100" s="6">
        <f>IF(S100&lt;&gt;"Ready","",V100-T100)</f>
        <v/>
      </c>
      <c r="X100" s="3">
        <f>IF(S100&lt;&gt;"Ready","",IF(V100=0,0,W100/V100))</f>
        <v/>
      </c>
      <c r="Y100" s="6">
        <f>IF(S100&lt;&gt;"Ready","",IF(P100="Yes",ROUND(V100*Project!$B$11,2),0))</f>
        <v/>
      </c>
    </row>
    <row r="101">
      <c r="A101" s="2" t="n"/>
      <c r="B101" s="2" t="n"/>
      <c r="C101" s="2" t="n"/>
      <c r="D101" s="2" t="n"/>
      <c r="E101" s="2" t="n"/>
      <c r="F101" s="5" t="n"/>
      <c r="G101" s="2" t="n"/>
      <c r="H101" s="2" t="n"/>
      <c r="I101" s="5" t="n"/>
      <c r="J101" s="2" t="n"/>
      <c r="K101" s="2" t="n"/>
      <c r="L101" s="6" t="n"/>
      <c r="M101" s="2" t="n"/>
      <c r="N101" s="2" t="n"/>
      <c r="O101" s="3" t="n"/>
      <c r="P101" s="2" t="n"/>
      <c r="Q101" s="2" t="n"/>
      <c r="R101" s="2" t="n"/>
      <c r="S101" s="2">
        <f>IF(A101="","",IF(OR(C101="",G101="",J101="",K101="",L101="",M101="",N101="",O101="",P101="",Project!$B$10="",Project!$B$11=""),"Incomplete","Ready"))</f>
        <v/>
      </c>
      <c r="T101" s="6">
        <f>IF(S101&lt;&gt;"Ready","",ROUND(J101*L101*N101,2))</f>
        <v/>
      </c>
      <c r="U101" s="6">
        <f>IF(S101&lt;&gt;"Ready","",ROUND(L101*N101*(1+O101),2))</f>
        <v/>
      </c>
      <c r="V101" s="6">
        <f>IF(S101&lt;&gt;"Ready","",ROUND(J101*U101,2))</f>
        <v/>
      </c>
      <c r="W101" s="6">
        <f>IF(S101&lt;&gt;"Ready","",V101-T101)</f>
        <v/>
      </c>
      <c r="X101" s="3">
        <f>IF(S101&lt;&gt;"Ready","",IF(V101=0,0,W101/V101))</f>
        <v/>
      </c>
      <c r="Y101" s="6">
        <f>IF(S101&lt;&gt;"Ready","",IF(P101="Yes",ROUND(V101*Project!$B$11,2),0))</f>
        <v/>
      </c>
    </row>
  </sheetData>
  <dataValidations count="9">
    <dataValidation sqref="C2:C101" showDropDown="0" showInputMessage="0" showErrorMessage="1" allowBlank="0" errorTitle="Choose a listed value" error="Use the dropdown options." type="list">
      <formula1>"Selected,Alternative,Excluded"</formula1>
    </dataValidation>
    <dataValidation sqref="M2:M101" showDropDown="0" showInputMessage="0" showErrorMessage="1" allowBlank="0" errorTitle="Choose a listed value" error="Use the dropdown options." type="list">
      <formula1>"CAD,USD"</formula1>
    </dataValidation>
    <dataValidation sqref="P2:P101" showDropDown="0" showInputMessage="0" showErrorMessage="1" allowBlank="0" errorTitle="Choose a listed value" error="Use the dropdown options." type="list">
      <formula1>"Yes,No"</formula1>
    </dataValidation>
    <dataValidation sqref="D2:D101" showDropDown="0" showInputMessage="0" showErrorMessage="1" allowBlank="0" errorTitle="Choose a listed value" error="Use the dropdown options." type="list">
      <formula1>"LED,Processing,Computing,Networking,Power,Rack,Cabling,Mounting,Audio,Labour,Freight,Spares,Other"</formula1>
    </dataValidation>
    <dataValidation sqref="J2:J101" showDropDown="0" showInputMessage="0" showErrorMessage="1" allowBlank="1" type="decimal" operator="greaterThanOrEqual">
      <formula1>0</formula1>
    </dataValidation>
    <dataValidation sqref="L2:L101" showDropDown="0" showInputMessage="0" showErrorMessage="1" allowBlank="1" type="decimal" operator="greaterThanOrEqual">
      <formula1>0</formula1>
    </dataValidation>
    <dataValidation sqref="N2:N101" showDropDown="0" showInputMessage="0" showErrorMessage="1" allowBlank="1" type="decimal" operator="greaterThanOrEqual">
      <formula1>0</formula1>
    </dataValidation>
    <dataValidation sqref="O2:O101" showDropDown="0" showInputMessage="0" showErrorMessage="1" allowBlank="1" type="decimal" operator="greaterThanOrEqual">
      <formula1>0</formula1>
    </dataValidation>
    <dataValidation sqref="Q2:Q101" showDropDown="0" showInputMessage="0" showErrorMessage="1" allowBlank="1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Project Currency</t>
        </is>
      </c>
      <c r="B2" s="2">
        <f>Project!B10</f>
        <v/>
      </c>
    </row>
    <row r="3">
      <c r="A3" s="2" t="inlineStr">
        <is>
          <t>Selected Incomplete Items</t>
        </is>
      </c>
      <c r="B3" s="2">
        <f>COUNTIFS('BOM Items'!C2:C101,"Selected",'BOM Items'!S2:S101,"Incomplete")</f>
        <v/>
      </c>
    </row>
    <row r="4">
      <c r="A4" s="2" t="inlineStr">
        <is>
          <t>Selected Cost</t>
        </is>
      </c>
      <c r="B4" s="6">
        <f>SUMIF('BOM Items'!C2:C101,"Selected",'BOM Items'!T2:T101)</f>
        <v/>
      </c>
    </row>
    <row r="5">
      <c r="A5" s="2" t="inlineStr">
        <is>
          <t>Selected Selling Subtotal</t>
        </is>
      </c>
      <c r="B5" s="6">
        <f>SUMIF('BOM Items'!C2:C101,"Selected",'BOM Items'!V2:V101)</f>
        <v/>
      </c>
    </row>
    <row r="6">
      <c r="A6" s="2" t="inlineStr">
        <is>
          <t>Gross Profit</t>
        </is>
      </c>
      <c r="B6" s="6">
        <f>B5-B4</f>
        <v/>
      </c>
    </row>
    <row r="7">
      <c r="A7" s="2" t="inlineStr">
        <is>
          <t>Gross Margin</t>
        </is>
      </c>
      <c r="B7" s="3">
        <f>IF(B5=0,0,B6/B5)</f>
        <v/>
      </c>
    </row>
    <row r="8">
      <c r="A8" s="2" t="inlineStr">
        <is>
          <t>Tax</t>
        </is>
      </c>
      <c r="B8" s="6">
        <f>SUMIF('BOM Items'!C2:C101,"Selected",'BOM Items'!Y2:Y101)</f>
        <v/>
      </c>
    </row>
    <row r="9">
      <c r="A9" s="2" t="inlineStr">
        <is>
          <t>Total Including Tax</t>
        </is>
      </c>
      <c r="B9" s="6">
        <f>B5+B8</f>
        <v/>
      </c>
    </row>
    <row r="10">
      <c r="A10" s="2" t="inlineStr">
        <is>
          <t>Status</t>
        </is>
      </c>
      <c r="B10" s="2">
        <f>IF(B3&gt;0,"Incomplete — totals omit incomplete lines","Check scope and inputs before approval")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2026-10-12T16:34:07Z</dcterms:created>
  <dcterms:modified xmlns:dcterms="http://purl.org/dc/terms/" xmlns:xsi="http://www.w3.org/2001/XMLSchema-instance" xsi:type="dcterms:W3CDTF">2026-10-12T16:34:07Z</dcterms:modified>
</cp:coreProperties>
</file>